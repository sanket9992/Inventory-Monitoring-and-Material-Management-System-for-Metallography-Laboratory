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_History" sheetId="1" r:id="rId1"/>
    <sheet name="Summary" sheetId="2" r:id="rId2"/>
    <sheet name="History_Only" sheetId="3" r:id="rId3"/>
    <sheet name="Monthly_Summary" sheetId="4" r:id="rId4"/>
    <sheet name="Top10_Trends" sheetId="5" r:id="rId5"/>
    <sheet name="Pivot_Category_Month" sheetId="6" r:id="rId6"/>
    <sheet name="Pivot_Stock_Category" sheetId="7" r:id="rId7"/>
    <sheet name="LeadTime_Dist" sheetId="8" r:id="rId8"/>
    <sheet name="Urgent_Summary" sheetId="9" r:id="rId9"/>
    <sheet name="Category_Avg" sheetId="10" r:id="rId10"/>
    <sheet name="Scatter_Helper" sheetId="11" r:id="rId11"/>
    <sheet name="Dashboard" sheetId="12" r:id="rId12"/>
    <sheet name="Instructions" sheetId="13" r:id="rId13"/>
  </sheets>
  <calcPr calcId="124519" fullCalcOnLoad="1"/>
</workbook>
</file>

<file path=xl/sharedStrings.xml><?xml version="1.0" encoding="utf-8"?>
<sst xmlns="http://schemas.openxmlformats.org/spreadsheetml/2006/main" count="433" uniqueCount="73">
  <si>
    <t>Item</t>
  </si>
  <si>
    <t>Jun 2025</t>
  </si>
  <si>
    <t>Jul 2025</t>
  </si>
  <si>
    <t>Aug 2025</t>
  </si>
  <si>
    <t>Sep 2025</t>
  </si>
  <si>
    <t>Oct 2025</t>
  </si>
  <si>
    <t>Nov 2025</t>
  </si>
  <si>
    <t>Category</t>
  </si>
  <si>
    <t>Unit</t>
  </si>
  <si>
    <t>Current Stock</t>
  </si>
  <si>
    <t>Avg Monthly Use</t>
  </si>
  <si>
    <t>Lead Time (Days)</t>
  </si>
  <si>
    <t>Safety Stock</t>
  </si>
  <si>
    <t>Reorder Level</t>
  </si>
  <si>
    <t>Stock Status</t>
  </si>
  <si>
    <t>Months of Cover</t>
  </si>
  <si>
    <t>Stock Utilization %</t>
  </si>
  <si>
    <t>Urgent Reorder</t>
  </si>
  <si>
    <t>Emery Paper (800 grit)</t>
  </si>
  <si>
    <t>Emery Paper (1000 grit)</t>
  </si>
  <si>
    <t>Emery Paper (1200 grit)</t>
  </si>
  <si>
    <t>Emery Paper (1500 grit)</t>
  </si>
  <si>
    <t>Emery Paper (2000 grit)</t>
  </si>
  <si>
    <t>Emery Paper (2500 grit)</t>
  </si>
  <si>
    <t>Polishing Cloth (Velvet)</t>
  </si>
  <si>
    <t>Diamond Suspension (3µm)</t>
  </si>
  <si>
    <t>Mounting Powder (Bakelite)</t>
  </si>
  <si>
    <t>Conductive Resin</t>
  </si>
  <si>
    <t>Cotton Wipes</t>
  </si>
  <si>
    <t>Latex Gloves</t>
  </si>
  <si>
    <t>Ethanol (95%)</t>
  </si>
  <si>
    <t>Beaker (100 mL)</t>
  </si>
  <si>
    <t>Beaker (250 mL)</t>
  </si>
  <si>
    <t>Beaker (500 mL)</t>
  </si>
  <si>
    <t>Beaker (1000 mL)</t>
  </si>
  <si>
    <t>Spray Bottles</t>
  </si>
  <si>
    <t>Grinding &amp; Polishing</t>
  </si>
  <si>
    <t>Mounting &amp; Cleaning</t>
  </si>
  <si>
    <t>Glassware &amp; Utilities</t>
  </si>
  <si>
    <t>Sheets</t>
  </si>
  <si>
    <t>Pieces</t>
  </si>
  <si>
    <t>mL</t>
  </si>
  <si>
    <t>Grams</t>
  </si>
  <si>
    <t>Packs</t>
  </si>
  <si>
    <t>Pairs</t>
  </si>
  <si>
    <t>Sufficient</t>
  </si>
  <si>
    <t>Reorder Needed</t>
  </si>
  <si>
    <t>No</t>
  </si>
  <si>
    <t>Yes</t>
  </si>
  <si>
    <t>Month</t>
  </si>
  <si>
    <t>Total Consumption</t>
  </si>
  <si>
    <t>LeadTime_Bin</t>
  </si>
  <si>
    <t>Count</t>
  </si>
  <si>
    <t>(-0.001, 7.0]</t>
  </si>
  <si>
    <t>(7.0, 14.0]</t>
  </si>
  <si>
    <t>(14.0, 21.0]</t>
  </si>
  <si>
    <t>(21.0, 31.0]</t>
  </si>
  <si>
    <t>AvgPerMonth</t>
  </si>
  <si>
    <t>Inventory Monitoring &amp; Material Management — Metallography Lab</t>
  </si>
  <si>
    <t>Total Items</t>
  </si>
  <si>
    <t>% Items Sufficient</t>
  </si>
  <si>
    <t>Items - Reorder Needed</t>
  </si>
  <si>
    <t>Urgent Reorder Count</t>
  </si>
  <si>
    <t>Avg Lead Time (Days)</t>
  </si>
  <si>
    <t>Months of Cover (Avg)</t>
  </si>
  <si>
    <t>Top 8 Item</t>
  </si>
  <si>
    <t>Notes</t>
  </si>
  <si>
    <t>Dashboard name</t>
  </si>
  <si>
    <t>How to use</t>
  </si>
  <si>
    <t>Scope</t>
  </si>
  <si>
    <t>Open 'Dashboard' for KPIs. Use 'Item_History' or 'Summary' to build PivotTables. Add slicers for Category/Month in Excel desktop.</t>
  </si>
  <si>
    <t>Tracks consumables handled by Metallography Lab. Reagents are prepared in Chemical Analysis Lab and not included.</t>
  </si>
  <si>
    <t>Replace synthesized monthly history with real data for accurate operational decisions.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</si>
</sst>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Monthly Consumption (Last 6 months)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Consumption</c:v>
          </c:tx>
          <c:marker>
            <c:symbol val="none"/>
          </c:marker>
          <c:cat>
            <c:strRef>
              <c:f>Monthly_Summary!$A$2:$A$7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Monthly_Summary!$B$2:$B$7</c:f>
              <c:numCache>
                <c:formatCode>General</c:formatCode>
                <c:ptCount val="6"/>
                <c:pt idx="0">
                  <c:v>1626</c:v>
                </c:pt>
                <c:pt idx="1">
                  <c:v>1716</c:v>
                </c:pt>
                <c:pt idx="2">
                  <c:v>1730</c:v>
                </c:pt>
                <c:pt idx="3">
                  <c:v>1592</c:v>
                </c:pt>
                <c:pt idx="4">
                  <c:v>1604</c:v>
                </c:pt>
                <c:pt idx="5">
                  <c:v>1537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Items - Monthly Demand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Top10_Trends!$A$2</c:f>
              <c:strCache>
                <c:ptCount val="1"/>
                <c:pt idx="0">
                  <c:v>Cotton Wipes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Top10_Trends!$B$2:$G$2</c:f>
              <c:numCache>
                <c:formatCode>General</c:formatCode>
                <c:ptCount val="6"/>
                <c:pt idx="0">
                  <c:v>241</c:v>
                </c:pt>
                <c:pt idx="1">
                  <c:v>274</c:v>
                </c:pt>
                <c:pt idx="2">
                  <c:v>266</c:v>
                </c:pt>
                <c:pt idx="3">
                  <c:v>243</c:v>
                </c:pt>
                <c:pt idx="4">
                  <c:v>280</c:v>
                </c:pt>
                <c:pt idx="5">
                  <c:v>242</c:v>
                </c:pt>
              </c:numCache>
            </c:numRef>
          </c:val>
        </c:ser>
        <c:ser>
          <c:idx val="1"/>
          <c:order val="1"/>
          <c:tx>
            <c:strRef>
              <c:f>Top10_Trends!$A$3</c:f>
              <c:strCache>
                <c:ptCount val="1"/>
                <c:pt idx="0">
                  <c:v>Latex Gloves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Top10_Trends!$B$3:$G$3</c:f>
              <c:numCache>
                <c:formatCode>General</c:formatCode>
                <c:ptCount val="6"/>
                <c:pt idx="0">
                  <c:v>261</c:v>
                </c:pt>
                <c:pt idx="1">
                  <c:v>280</c:v>
                </c:pt>
                <c:pt idx="2">
                  <c:v>265</c:v>
                </c:pt>
                <c:pt idx="3">
                  <c:v>230</c:v>
                </c:pt>
                <c:pt idx="4">
                  <c:v>215</c:v>
                </c:pt>
                <c:pt idx="5">
                  <c:v>217</c:v>
                </c:pt>
              </c:numCache>
            </c:numRef>
          </c:val>
        </c:ser>
        <c:ser>
          <c:idx val="2"/>
          <c:order val="2"/>
          <c:tx>
            <c:strRef>
              <c:f>Top10_Trends!$A$4</c:f>
              <c:strCache>
                <c:ptCount val="1"/>
                <c:pt idx="0">
                  <c:v>Conductive Resin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Top10_Trends!$B$4:$G$4</c:f>
              <c:numCache>
                <c:formatCode>General</c:formatCode>
                <c:ptCount val="6"/>
                <c:pt idx="0">
                  <c:v>181</c:v>
                </c:pt>
                <c:pt idx="1">
                  <c:v>197</c:v>
                </c:pt>
                <c:pt idx="2">
                  <c:v>217</c:v>
                </c:pt>
                <c:pt idx="3">
                  <c:v>191</c:v>
                </c:pt>
                <c:pt idx="4">
                  <c:v>196</c:v>
                </c:pt>
                <c:pt idx="5">
                  <c:v>191</c:v>
                </c:pt>
              </c:numCache>
            </c:numRef>
          </c:val>
        </c:ser>
        <c:ser>
          <c:idx val="3"/>
          <c:order val="3"/>
          <c:tx>
            <c:strRef>
              <c:f>Top10_Trends!$A$5</c:f>
              <c:strCache>
                <c:ptCount val="1"/>
                <c:pt idx="0">
                  <c:v>Ethanol (95%)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Top10_Trends!$B$5:$G$5</c:f>
              <c:numCache>
                <c:formatCode>General</c:formatCode>
                <c:ptCount val="6"/>
                <c:pt idx="0">
                  <c:v>191</c:v>
                </c:pt>
                <c:pt idx="1">
                  <c:v>205</c:v>
                </c:pt>
                <c:pt idx="2">
                  <c:v>201</c:v>
                </c:pt>
                <c:pt idx="3">
                  <c:v>184</c:v>
                </c:pt>
                <c:pt idx="4">
                  <c:v>213</c:v>
                </c:pt>
                <c:pt idx="5">
                  <c:v>175</c:v>
                </c:pt>
              </c:numCache>
            </c:numRef>
          </c:val>
        </c:ser>
        <c:ser>
          <c:idx val="4"/>
          <c:order val="4"/>
          <c:tx>
            <c:strRef>
              <c:f>Top10_Trends!$A$6</c:f>
              <c:strCache>
                <c:ptCount val="1"/>
                <c:pt idx="0">
                  <c:v>Polishing Cloth (Velvet)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Top10_Trends!$B$6:$G$6</c:f>
              <c:numCache>
                <c:formatCode>General</c:formatCode>
                <c:ptCount val="6"/>
                <c:pt idx="0">
                  <c:v>124</c:v>
                </c:pt>
                <c:pt idx="1">
                  <c:v>137</c:v>
                </c:pt>
                <c:pt idx="2">
                  <c:v>129</c:v>
                </c:pt>
                <c:pt idx="3">
                  <c:v>127</c:v>
                </c:pt>
                <c:pt idx="4">
                  <c:v>100</c:v>
                </c:pt>
                <c:pt idx="5">
                  <c:v>118</c:v>
                </c:pt>
              </c:numCache>
            </c:numRef>
          </c:val>
        </c:ser>
        <c:ser>
          <c:idx val="5"/>
          <c:order val="5"/>
          <c:tx>
            <c:strRef>
              <c:f>Top10_Trends!$A$7</c:f>
              <c:strCache>
                <c:ptCount val="1"/>
                <c:pt idx="0">
                  <c:v>Emery Paper (800 grit)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Top10_Trends!$B$7:$G$7</c:f>
              <c:numCache>
                <c:formatCode>General</c:formatCode>
                <c:ptCount val="6"/>
                <c:pt idx="0">
                  <c:v>122</c:v>
                </c:pt>
                <c:pt idx="1">
                  <c:v>109</c:v>
                </c:pt>
                <c:pt idx="2">
                  <c:v>120</c:v>
                </c:pt>
                <c:pt idx="3">
                  <c:v>114</c:v>
                </c:pt>
                <c:pt idx="4">
                  <c:v>115</c:v>
                </c:pt>
                <c:pt idx="5">
                  <c:v>109</c:v>
                </c:pt>
              </c:numCache>
            </c:numRef>
          </c:val>
        </c:ser>
        <c:ser>
          <c:idx val="6"/>
          <c:order val="6"/>
          <c:tx>
            <c:strRef>
              <c:f>Top10_Trends!$A$8</c:f>
              <c:strCache>
                <c:ptCount val="1"/>
                <c:pt idx="0">
                  <c:v>Diamond Suspension (3µm)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Top10_Trends!$B$8:$G$8</c:f>
              <c:numCache>
                <c:formatCode>General</c:formatCode>
                <c:ptCount val="6"/>
                <c:pt idx="0">
                  <c:v>82</c:v>
                </c:pt>
                <c:pt idx="1">
                  <c:v>80</c:v>
                </c:pt>
                <c:pt idx="2">
                  <c:v>92</c:v>
                </c:pt>
                <c:pt idx="3">
                  <c:v>86</c:v>
                </c:pt>
                <c:pt idx="4">
                  <c:v>98</c:v>
                </c:pt>
                <c:pt idx="5">
                  <c:v>89</c:v>
                </c:pt>
              </c:numCache>
            </c:numRef>
          </c:val>
        </c:ser>
        <c:ser>
          <c:idx val="7"/>
          <c:order val="7"/>
          <c:tx>
            <c:strRef>
              <c:f>Top10_Trends!$A$9</c:f>
              <c:strCache>
                <c:ptCount val="1"/>
                <c:pt idx="0">
                  <c:v>Emery Paper (2000 grit)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Top10_Trends!$B$9:$G$9</c:f>
              <c:numCache>
                <c:formatCode>General</c:formatCode>
                <c:ptCount val="6"/>
                <c:pt idx="0">
                  <c:v>84</c:v>
                </c:pt>
                <c:pt idx="1">
                  <c:v>88</c:v>
                </c:pt>
                <c:pt idx="2">
                  <c:v>82</c:v>
                </c:pt>
                <c:pt idx="3">
                  <c:v>82</c:v>
                </c:pt>
                <c:pt idx="4">
                  <c:v>73</c:v>
                </c:pt>
                <c:pt idx="5">
                  <c:v>81</c:v>
                </c:pt>
              </c:numCache>
            </c:numRef>
          </c:val>
        </c:ser>
        <c:ser>
          <c:idx val="8"/>
          <c:order val="8"/>
          <c:tx>
            <c:strRef>
              <c:f>Top10_Trends!$A$10</c:f>
              <c:strCache>
                <c:ptCount val="1"/>
                <c:pt idx="0">
                  <c:v>Emery Paper (2500 grit)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Top10_Trends!$B$10:$G$10</c:f>
              <c:numCache>
                <c:formatCode>General</c:formatCode>
                <c:ptCount val="6"/>
                <c:pt idx="0">
                  <c:v>75</c:v>
                </c:pt>
                <c:pt idx="1">
                  <c:v>74</c:v>
                </c:pt>
                <c:pt idx="2">
                  <c:v>80</c:v>
                </c:pt>
                <c:pt idx="3">
                  <c:v>75</c:v>
                </c:pt>
                <c:pt idx="4">
                  <c:v>58</c:v>
                </c:pt>
                <c:pt idx="5">
                  <c:v>64</c:v>
                </c:pt>
              </c:numCache>
            </c:numRef>
          </c:val>
        </c:ser>
        <c:ser>
          <c:idx val="9"/>
          <c:order val="9"/>
          <c:tx>
            <c:strRef>
              <c:f>Top10_Trends!$A$11</c:f>
              <c:strCache>
                <c:ptCount val="1"/>
                <c:pt idx="0">
                  <c:v>Mounting Powder (Bakelite)</c:v>
                </c:pt>
              </c:strCache>
            </c:strRef>
          </c:tx>
          <c:marker>
            <c:symbol val="none"/>
          </c:marker>
          <c:cat>
            <c:strRef>
              <c:f>Top10_Trends!$B$1:$G$1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Top10_Trends!$B$11:$G$11</c:f>
              <c:numCache>
                <c:formatCode>General</c:formatCode>
                <c:ptCount val="6"/>
                <c:pt idx="0">
                  <c:v>56</c:v>
                </c:pt>
                <c:pt idx="1">
                  <c:v>60</c:v>
                </c:pt>
                <c:pt idx="2">
                  <c:v>64</c:v>
                </c:pt>
                <c:pt idx="3">
                  <c:v>50</c:v>
                </c:pt>
                <c:pt idx="4">
                  <c:v>69</c:v>
                </c:pt>
                <c:pt idx="5">
                  <c:v>63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Lead Time Distribution (Binned)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Lead Time Distribution</c:v>
          </c:tx>
          <c:cat>
            <c:strRef>
              <c:f>LeadTime_Dist!$A$2:$A$5</c:f>
              <c:strCache>
                <c:ptCount val="4"/>
                <c:pt idx="0">
                  <c:v>(-0.001, 7.0]</c:v>
                </c:pt>
                <c:pt idx="1">
                  <c:v>(7.0, 14.0]</c:v>
                </c:pt>
                <c:pt idx="2">
                  <c:v>(14.0, 21.0]</c:v>
                </c:pt>
                <c:pt idx="3">
                  <c:v>(21.0, 31.0]</c:v>
                </c:pt>
              </c:strCache>
            </c:strRef>
          </c:cat>
          <c:val>
            <c:numRef>
              <c:f>LeadTime_Dist!$B$2:$B$5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Urgent Reorder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Urgent Reorder Share</c:v>
          </c:tx>
          <c:cat>
            <c:strRef>
              <c:f>Urgent_Summary!$A$2:$A$3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Urgent_Summary!$B$2:$B$3</c:f>
              <c:numCache>
                <c:formatCode>General</c:formatCode>
                <c:ptCount val="2"/>
                <c:pt idx="0">
                  <c:v>16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Category-wise Avg Monthly Use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Monthly Use</c:v>
          </c:tx>
          <c:cat>
            <c:strRef>
              <c:f>Category_Avg!$A$2:$A$19</c:f>
              <c:strCache>
                <c:ptCount val="18"/>
                <c:pt idx="0">
                  <c:v>Glassware &amp; Utilities</c:v>
                </c:pt>
                <c:pt idx="1">
                  <c:v>Glassware &amp; Utilities</c:v>
                </c:pt>
                <c:pt idx="2">
                  <c:v>Glassware &amp; Utilities</c:v>
                </c:pt>
                <c:pt idx="3">
                  <c:v>Glassware &amp; Utilities</c:v>
                </c:pt>
                <c:pt idx="4">
                  <c:v>Glassware &amp; Utilities</c:v>
                </c:pt>
                <c:pt idx="5">
                  <c:v>Grinding &amp; Polishing</c:v>
                </c:pt>
                <c:pt idx="6">
                  <c:v>Grinding &amp; Polishing</c:v>
                </c:pt>
                <c:pt idx="7">
                  <c:v>Grinding &amp; Polishing</c:v>
                </c:pt>
                <c:pt idx="8">
                  <c:v>Grinding &amp; Polishing</c:v>
                </c:pt>
                <c:pt idx="9">
                  <c:v>Grinding &amp; Polishing</c:v>
                </c:pt>
                <c:pt idx="10">
                  <c:v>Grinding &amp; Polishing</c:v>
                </c:pt>
                <c:pt idx="11">
                  <c:v>Grinding &amp; Polishing</c:v>
                </c:pt>
                <c:pt idx="12">
                  <c:v>Grinding &amp; Polishing</c:v>
                </c:pt>
                <c:pt idx="13">
                  <c:v>Mounting &amp; Cleaning</c:v>
                </c:pt>
                <c:pt idx="14">
                  <c:v>Mounting &amp; Cleaning</c:v>
                </c:pt>
                <c:pt idx="15">
                  <c:v>Mounting &amp; Cleaning</c:v>
                </c:pt>
                <c:pt idx="16">
                  <c:v>Mounting &amp; Cleaning</c:v>
                </c:pt>
                <c:pt idx="17">
                  <c:v>Mounting &amp; Cleaning</c:v>
                </c:pt>
              </c:strCache>
            </c:strRef>
          </c:cat>
          <c:val>
            <c:numRef>
              <c:f>Category_Avg!$B$2:$B$19</c:f>
              <c:numCache>
                <c:formatCode>General</c:formatCode>
                <c:ptCount val="18"/>
                <c:pt idx="0">
                  <c:v>10.3</c:v>
                </c:pt>
                <c:pt idx="1">
                  <c:v>11</c:v>
                </c:pt>
                <c:pt idx="2">
                  <c:v>15.5</c:v>
                </c:pt>
                <c:pt idx="3">
                  <c:v>21.8</c:v>
                </c:pt>
                <c:pt idx="4">
                  <c:v>26.5</c:v>
                </c:pt>
                <c:pt idx="5">
                  <c:v>12.8</c:v>
                </c:pt>
                <c:pt idx="6">
                  <c:v>46</c:v>
                </c:pt>
                <c:pt idx="7">
                  <c:v>59.3</c:v>
                </c:pt>
                <c:pt idx="8">
                  <c:v>71</c:v>
                </c:pt>
                <c:pt idx="9">
                  <c:v>87.8</c:v>
                </c:pt>
                <c:pt idx="10">
                  <c:v>81.7</c:v>
                </c:pt>
                <c:pt idx="11">
                  <c:v>114.8</c:v>
                </c:pt>
                <c:pt idx="12">
                  <c:v>122.5</c:v>
                </c:pt>
                <c:pt idx="13">
                  <c:v>60.3</c:v>
                </c:pt>
                <c:pt idx="14">
                  <c:v>195.5</c:v>
                </c:pt>
                <c:pt idx="15">
                  <c:v>194.8</c:v>
                </c:pt>
                <c:pt idx="16">
                  <c:v>257.7</c:v>
                </c:pt>
                <c:pt idx="17">
                  <c:v>244.7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Current Stock vs Reorder Level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Items</c:v>
          </c:tx>
          <c:marker>
            <c:symbol val="circle"/>
            <c:size val="6"/>
          </c:marker>
          <c:xVal>
            <c:numRef>
              <c:f>Scatter_Helper!$B$2:$B$19</c:f>
              <c:numCache>
                <c:formatCode>General</c:formatCode>
                <c:ptCount val="18"/>
                <c:pt idx="0">
                  <c:v>212</c:v>
                </c:pt>
                <c:pt idx="1">
                  <c:v>27</c:v>
                </c:pt>
                <c:pt idx="2">
                  <c:v>73</c:v>
                </c:pt>
                <c:pt idx="3">
                  <c:v>104</c:v>
                </c:pt>
                <c:pt idx="4">
                  <c:v>91</c:v>
                </c:pt>
                <c:pt idx="5">
                  <c:v>171</c:v>
                </c:pt>
                <c:pt idx="6">
                  <c:v>151</c:v>
                </c:pt>
                <c:pt idx="7">
                  <c:v>123</c:v>
                </c:pt>
                <c:pt idx="8">
                  <c:v>156</c:v>
                </c:pt>
                <c:pt idx="9">
                  <c:v>447</c:v>
                </c:pt>
                <c:pt idx="10">
                  <c:v>548</c:v>
                </c:pt>
                <c:pt idx="11">
                  <c:v>639</c:v>
                </c:pt>
                <c:pt idx="12">
                  <c:v>301</c:v>
                </c:pt>
                <c:pt idx="13">
                  <c:v>43</c:v>
                </c:pt>
                <c:pt idx="14">
                  <c:v>57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</c:numCache>
            </c:numRef>
          </c:xVal>
          <c:yVal>
            <c:numRef>
              <c:f>Scatter_Helper!$C$2:$C$19</c:f>
              <c:numCache>
                <c:formatCode>General</c:formatCode>
                <c:ptCount val="18"/>
                <c:pt idx="0">
                  <c:v>168</c:v>
                </c:pt>
                <c:pt idx="1">
                  <c:v>20</c:v>
                </c:pt>
                <c:pt idx="2">
                  <c:v>87</c:v>
                </c:pt>
                <c:pt idx="3">
                  <c:v>67</c:v>
                </c:pt>
                <c:pt idx="4">
                  <c:v>115</c:v>
                </c:pt>
                <c:pt idx="5">
                  <c:v>101</c:v>
                </c:pt>
                <c:pt idx="6">
                  <c:v>154</c:v>
                </c:pt>
                <c:pt idx="7">
                  <c:v>112</c:v>
                </c:pt>
                <c:pt idx="8">
                  <c:v>82</c:v>
                </c:pt>
                <c:pt idx="9">
                  <c:v>253</c:v>
                </c:pt>
                <c:pt idx="10">
                  <c:v>334</c:v>
                </c:pt>
                <c:pt idx="11">
                  <c:v>385</c:v>
                </c:pt>
                <c:pt idx="12">
                  <c:v>264</c:v>
                </c:pt>
                <c:pt idx="13">
                  <c:v>25</c:v>
                </c:pt>
                <c:pt idx="14">
                  <c:v>38</c:v>
                </c:pt>
                <c:pt idx="15">
                  <c:v>34</c:v>
                </c:pt>
                <c:pt idx="16">
                  <c:v>13</c:v>
                </c:pt>
                <c:pt idx="17">
                  <c:v>15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Monthly Consumption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Consumption</c:v>
          </c:tx>
          <c:marker>
            <c:symbol val="none"/>
          </c:marker>
          <c:cat>
            <c:strRef>
              <c:f>Monthly_Summary!$A$2:$A$7</c:f>
              <c:strCache>
                <c:ptCount val="6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</c:strCache>
            </c:strRef>
          </c:cat>
          <c:val>
            <c:numRef>
              <c:f>Monthly_Summary!$B$2:$B$7</c:f>
              <c:numCache>
                <c:formatCode>General</c:formatCode>
                <c:ptCount val="6"/>
                <c:pt idx="0">
                  <c:v>1626</c:v>
                </c:pt>
                <c:pt idx="1">
                  <c:v>1716</c:v>
                </c:pt>
                <c:pt idx="2">
                  <c:v>1730</c:v>
                </c:pt>
                <c:pt idx="3">
                  <c:v>1592</c:v>
                </c:pt>
                <c:pt idx="4">
                  <c:v>1604</c:v>
                </c:pt>
                <c:pt idx="5">
                  <c:v>1537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8: Stock vs Reorder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Current Stock</c:v>
          </c:tx>
          <c:cat>
            <c:strRef>
              <c:f>Dashboard!$A$13:$A$20</c:f>
              <c:strCache>
                <c:ptCount val="8"/>
                <c:pt idx="0">
                  <c:v>Latex Gloves</c:v>
                </c:pt>
                <c:pt idx="1">
                  <c:v>Conductive Resin</c:v>
                </c:pt>
                <c:pt idx="2">
                  <c:v>Ethanol (95%)</c:v>
                </c:pt>
                <c:pt idx="3">
                  <c:v>Polishing Cloth (Velvet)</c:v>
                </c:pt>
                <c:pt idx="4">
                  <c:v>Emery Paper (800 grit)</c:v>
                </c:pt>
                <c:pt idx="5">
                  <c:v>Diamond Suspension (3µm)</c:v>
                </c:pt>
                <c:pt idx="6">
                  <c:v>Emery Paper (2000 grit)</c:v>
                </c:pt>
              </c:strCache>
            </c:strRef>
          </c:cat>
          <c:val>
            <c:numRef>
              <c:f>Dashboard!$B$13:$B$20</c:f>
              <c:numCache>
                <c:formatCode>General</c:formatCode>
                <c:ptCount val="8"/>
                <c:pt idx="0">
                  <c:v>639</c:v>
                </c:pt>
                <c:pt idx="1">
                  <c:v>447</c:v>
                </c:pt>
                <c:pt idx="2">
                  <c:v>301</c:v>
                </c:pt>
                <c:pt idx="3">
                  <c:v>151</c:v>
                </c:pt>
                <c:pt idx="4">
                  <c:v>212</c:v>
                </c:pt>
                <c:pt idx="5">
                  <c:v>123</c:v>
                </c:pt>
                <c:pt idx="6">
                  <c:v>91</c:v>
                </c:pt>
              </c:numCache>
            </c:numRef>
          </c:val>
        </c:ser>
        <c:ser>
          <c:idx val="1"/>
          <c:order val="1"/>
          <c:tx>
            <c:v>Reorder Level</c:v>
          </c:tx>
          <c:cat>
            <c:strRef>
              <c:f>Dashboard!$A$13:$A$20</c:f>
              <c:strCache>
                <c:ptCount val="8"/>
                <c:pt idx="0">
                  <c:v>Latex Gloves</c:v>
                </c:pt>
                <c:pt idx="1">
                  <c:v>Conductive Resin</c:v>
                </c:pt>
                <c:pt idx="2">
                  <c:v>Ethanol (95%)</c:v>
                </c:pt>
                <c:pt idx="3">
                  <c:v>Polishing Cloth (Velvet)</c:v>
                </c:pt>
                <c:pt idx="4">
                  <c:v>Emery Paper (800 grit)</c:v>
                </c:pt>
                <c:pt idx="5">
                  <c:v>Diamond Suspension (3µm)</c:v>
                </c:pt>
                <c:pt idx="6">
                  <c:v>Emery Paper (2000 grit)</c:v>
                </c:pt>
              </c:strCache>
            </c:strRef>
          </c:cat>
          <c:val>
            <c:numRef>
              <c:f>Dashboard!$C$13:$C$20</c:f>
              <c:numCache>
                <c:formatCode>General</c:formatCode>
                <c:ptCount val="8"/>
                <c:pt idx="0">
                  <c:v>385</c:v>
                </c:pt>
                <c:pt idx="1">
                  <c:v>253</c:v>
                </c:pt>
                <c:pt idx="2">
                  <c:v>264</c:v>
                </c:pt>
                <c:pt idx="3">
                  <c:v>154</c:v>
                </c:pt>
                <c:pt idx="4">
                  <c:v>168</c:v>
                </c:pt>
                <c:pt idx="5">
                  <c:v>112</c:v>
                </c:pt>
                <c:pt idx="6">
                  <c:v>115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16</xdr:col>
      <xdr:colOff>457200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457200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428625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123825</xdr:colOff>
      <xdr:row>25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122</v>
      </c>
      <c r="C2">
        <v>109</v>
      </c>
      <c r="D2">
        <v>120</v>
      </c>
      <c r="E2">
        <v>114</v>
      </c>
      <c r="F2">
        <v>115</v>
      </c>
      <c r="G2">
        <v>109</v>
      </c>
      <c r="H2" t="s">
        <v>36</v>
      </c>
      <c r="I2" t="s">
        <v>39</v>
      </c>
      <c r="J2">
        <v>212</v>
      </c>
      <c r="K2">
        <v>115</v>
      </c>
      <c r="L2">
        <v>14</v>
      </c>
      <c r="M2">
        <v>53</v>
      </c>
      <c r="N2">
        <v>168</v>
      </c>
      <c r="O2" t="s">
        <v>45</v>
      </c>
      <c r="P2">
        <v>1.8</v>
      </c>
      <c r="Q2">
        <v>126.2</v>
      </c>
      <c r="R2" t="s">
        <v>47</v>
      </c>
    </row>
    <row r="3" spans="1:18">
      <c r="A3" t="s">
        <v>19</v>
      </c>
      <c r="B3">
        <v>14</v>
      </c>
      <c r="C3">
        <v>13</v>
      </c>
      <c r="D3">
        <v>12</v>
      </c>
      <c r="E3">
        <v>13</v>
      </c>
      <c r="F3">
        <v>13</v>
      </c>
      <c r="G3">
        <v>12</v>
      </c>
      <c r="H3" t="s">
        <v>36</v>
      </c>
      <c r="I3" t="s">
        <v>39</v>
      </c>
      <c r="J3">
        <v>27</v>
      </c>
      <c r="K3">
        <v>13</v>
      </c>
      <c r="L3">
        <v>7</v>
      </c>
      <c r="M3">
        <v>7</v>
      </c>
      <c r="N3">
        <v>20</v>
      </c>
      <c r="O3" t="s">
        <v>45</v>
      </c>
      <c r="P3">
        <v>2.1</v>
      </c>
      <c r="Q3">
        <v>135</v>
      </c>
      <c r="R3" t="s">
        <v>47</v>
      </c>
    </row>
    <row r="4" spans="1:18">
      <c r="A4" t="s">
        <v>20</v>
      </c>
      <c r="B4">
        <v>59</v>
      </c>
      <c r="C4">
        <v>63</v>
      </c>
      <c r="D4">
        <v>60</v>
      </c>
      <c r="E4">
        <v>70</v>
      </c>
      <c r="F4">
        <v>50</v>
      </c>
      <c r="G4">
        <v>54</v>
      </c>
      <c r="H4" t="s">
        <v>36</v>
      </c>
      <c r="I4" t="s">
        <v>39</v>
      </c>
      <c r="J4">
        <v>73</v>
      </c>
      <c r="K4">
        <v>59</v>
      </c>
      <c r="L4">
        <v>14</v>
      </c>
      <c r="M4">
        <v>28</v>
      </c>
      <c r="N4">
        <v>87</v>
      </c>
      <c r="O4" t="s">
        <v>46</v>
      </c>
      <c r="P4">
        <v>1.2</v>
      </c>
      <c r="Q4">
        <v>83.90000000000001</v>
      </c>
      <c r="R4" t="s">
        <v>48</v>
      </c>
    </row>
    <row r="5" spans="1:18">
      <c r="A5" t="s">
        <v>21</v>
      </c>
      <c r="B5">
        <v>45</v>
      </c>
      <c r="C5">
        <v>51</v>
      </c>
      <c r="D5">
        <v>50</v>
      </c>
      <c r="E5">
        <v>42</v>
      </c>
      <c r="F5">
        <v>45</v>
      </c>
      <c r="G5">
        <v>43</v>
      </c>
      <c r="H5" t="s">
        <v>36</v>
      </c>
      <c r="I5" t="s">
        <v>39</v>
      </c>
      <c r="J5">
        <v>104</v>
      </c>
      <c r="K5">
        <v>46</v>
      </c>
      <c r="L5">
        <v>7</v>
      </c>
      <c r="M5">
        <v>21</v>
      </c>
      <c r="N5">
        <v>67</v>
      </c>
      <c r="O5" t="s">
        <v>45</v>
      </c>
      <c r="P5">
        <v>2.3</v>
      </c>
      <c r="Q5">
        <v>155.2</v>
      </c>
      <c r="R5" t="s">
        <v>47</v>
      </c>
    </row>
    <row r="6" spans="1:18">
      <c r="A6" t="s">
        <v>22</v>
      </c>
      <c r="B6">
        <v>84</v>
      </c>
      <c r="C6">
        <v>88</v>
      </c>
      <c r="D6">
        <v>82</v>
      </c>
      <c r="E6">
        <v>82</v>
      </c>
      <c r="F6">
        <v>73</v>
      </c>
      <c r="G6">
        <v>81</v>
      </c>
      <c r="H6" t="s">
        <v>36</v>
      </c>
      <c r="I6" t="s">
        <v>39</v>
      </c>
      <c r="J6">
        <v>91</v>
      </c>
      <c r="K6">
        <v>82</v>
      </c>
      <c r="L6">
        <v>14</v>
      </c>
      <c r="M6">
        <v>33</v>
      </c>
      <c r="N6">
        <v>115</v>
      </c>
      <c r="O6" t="s">
        <v>46</v>
      </c>
      <c r="P6">
        <v>1.1</v>
      </c>
      <c r="Q6">
        <v>79.09999999999999</v>
      </c>
      <c r="R6" t="s">
        <v>48</v>
      </c>
    </row>
    <row r="7" spans="1:18">
      <c r="A7" t="s">
        <v>23</v>
      </c>
      <c r="B7">
        <v>75</v>
      </c>
      <c r="C7">
        <v>74</v>
      </c>
      <c r="D7">
        <v>80</v>
      </c>
      <c r="E7">
        <v>75</v>
      </c>
      <c r="F7">
        <v>58</v>
      </c>
      <c r="G7">
        <v>64</v>
      </c>
      <c r="H7" t="s">
        <v>36</v>
      </c>
      <c r="I7" t="s">
        <v>39</v>
      </c>
      <c r="J7">
        <v>171</v>
      </c>
      <c r="K7">
        <v>71</v>
      </c>
      <c r="L7">
        <v>14</v>
      </c>
      <c r="M7">
        <v>30</v>
      </c>
      <c r="N7">
        <v>101</v>
      </c>
      <c r="O7" t="s">
        <v>45</v>
      </c>
      <c r="P7">
        <v>2.4</v>
      </c>
      <c r="Q7">
        <v>169.3</v>
      </c>
      <c r="R7" t="s">
        <v>47</v>
      </c>
    </row>
    <row r="8" spans="1:18">
      <c r="A8" t="s">
        <v>24</v>
      </c>
      <c r="B8">
        <v>124</v>
      </c>
      <c r="C8">
        <v>137</v>
      </c>
      <c r="D8">
        <v>129</v>
      </c>
      <c r="E8">
        <v>127</v>
      </c>
      <c r="F8">
        <v>100</v>
      </c>
      <c r="G8">
        <v>118</v>
      </c>
      <c r="H8" t="s">
        <v>36</v>
      </c>
      <c r="I8" t="s">
        <v>40</v>
      </c>
      <c r="J8">
        <v>151</v>
      </c>
      <c r="K8">
        <v>122</v>
      </c>
      <c r="L8">
        <v>7</v>
      </c>
      <c r="M8">
        <v>32</v>
      </c>
      <c r="N8">
        <v>154</v>
      </c>
      <c r="O8" t="s">
        <v>46</v>
      </c>
      <c r="P8">
        <v>1.2</v>
      </c>
      <c r="Q8">
        <v>98.09999999999999</v>
      </c>
      <c r="R8" t="s">
        <v>47</v>
      </c>
    </row>
    <row r="9" spans="1:18">
      <c r="A9" t="s">
        <v>25</v>
      </c>
      <c r="B9">
        <v>82</v>
      </c>
      <c r="C9">
        <v>80</v>
      </c>
      <c r="D9">
        <v>92</v>
      </c>
      <c r="E9">
        <v>86</v>
      </c>
      <c r="F9">
        <v>98</v>
      </c>
      <c r="G9">
        <v>89</v>
      </c>
      <c r="H9" t="s">
        <v>36</v>
      </c>
      <c r="I9" t="s">
        <v>41</v>
      </c>
      <c r="J9">
        <v>123</v>
      </c>
      <c r="K9">
        <v>88</v>
      </c>
      <c r="L9">
        <v>10</v>
      </c>
      <c r="M9">
        <v>24</v>
      </c>
      <c r="N9">
        <v>112</v>
      </c>
      <c r="O9" t="s">
        <v>45</v>
      </c>
      <c r="P9">
        <v>1.4</v>
      </c>
      <c r="Q9">
        <v>109.8</v>
      </c>
      <c r="R9" t="s">
        <v>47</v>
      </c>
    </row>
    <row r="10" spans="1:18">
      <c r="A10" t="s">
        <v>26</v>
      </c>
      <c r="B10">
        <v>56</v>
      </c>
      <c r="C10">
        <v>60</v>
      </c>
      <c r="D10">
        <v>64</v>
      </c>
      <c r="E10">
        <v>50</v>
      </c>
      <c r="F10">
        <v>69</v>
      </c>
      <c r="G10">
        <v>63</v>
      </c>
      <c r="H10" t="s">
        <v>37</v>
      </c>
      <c r="I10" t="s">
        <v>42</v>
      </c>
      <c r="J10">
        <v>156</v>
      </c>
      <c r="K10">
        <v>60</v>
      </c>
      <c r="L10">
        <v>7</v>
      </c>
      <c r="M10">
        <v>22</v>
      </c>
      <c r="N10">
        <v>82</v>
      </c>
      <c r="O10" t="s">
        <v>45</v>
      </c>
      <c r="P10">
        <v>2.6</v>
      </c>
      <c r="Q10">
        <v>190.2</v>
      </c>
      <c r="R10" t="s">
        <v>47</v>
      </c>
    </row>
    <row r="11" spans="1:18">
      <c r="A11" t="s">
        <v>27</v>
      </c>
      <c r="B11">
        <v>181</v>
      </c>
      <c r="C11">
        <v>197</v>
      </c>
      <c r="D11">
        <v>217</v>
      </c>
      <c r="E11">
        <v>191</v>
      </c>
      <c r="F11">
        <v>196</v>
      </c>
      <c r="G11">
        <v>191</v>
      </c>
      <c r="H11" t="s">
        <v>37</v>
      </c>
      <c r="I11" t="s">
        <v>42</v>
      </c>
      <c r="J11">
        <v>447</v>
      </c>
      <c r="K11">
        <v>196</v>
      </c>
      <c r="L11">
        <v>14</v>
      </c>
      <c r="M11">
        <v>57</v>
      </c>
      <c r="N11">
        <v>253</v>
      </c>
      <c r="O11" t="s">
        <v>45</v>
      </c>
      <c r="P11">
        <v>2.3</v>
      </c>
      <c r="Q11">
        <v>176.7</v>
      </c>
      <c r="R11" t="s">
        <v>47</v>
      </c>
    </row>
    <row r="12" spans="1:18">
      <c r="A12" t="s">
        <v>28</v>
      </c>
      <c r="B12">
        <v>241</v>
      </c>
      <c r="C12">
        <v>274</v>
      </c>
      <c r="D12">
        <v>266</v>
      </c>
      <c r="E12">
        <v>243</v>
      </c>
      <c r="F12">
        <v>280</v>
      </c>
      <c r="G12">
        <v>242</v>
      </c>
      <c r="H12" t="s">
        <v>37</v>
      </c>
      <c r="I12" t="s">
        <v>43</v>
      </c>
      <c r="J12">
        <v>548</v>
      </c>
      <c r="K12">
        <v>258</v>
      </c>
      <c r="L12">
        <v>20</v>
      </c>
      <c r="M12">
        <v>76</v>
      </c>
      <c r="N12">
        <v>334</v>
      </c>
      <c r="O12" t="s">
        <v>45</v>
      </c>
      <c r="P12">
        <v>2.1</v>
      </c>
      <c r="Q12">
        <v>164.1</v>
      </c>
      <c r="R12" t="s">
        <v>47</v>
      </c>
    </row>
    <row r="13" spans="1:18">
      <c r="A13" t="s">
        <v>29</v>
      </c>
      <c r="B13">
        <v>261</v>
      </c>
      <c r="C13">
        <v>280</v>
      </c>
      <c r="D13">
        <v>265</v>
      </c>
      <c r="E13">
        <v>230</v>
      </c>
      <c r="F13">
        <v>215</v>
      </c>
      <c r="G13">
        <v>217</v>
      </c>
      <c r="H13" t="s">
        <v>37</v>
      </c>
      <c r="I13" t="s">
        <v>44</v>
      </c>
      <c r="J13">
        <v>639</v>
      </c>
      <c r="K13">
        <v>245</v>
      </c>
      <c r="L13">
        <v>20</v>
      </c>
      <c r="M13">
        <v>140</v>
      </c>
      <c r="N13">
        <v>385</v>
      </c>
      <c r="O13" t="s">
        <v>45</v>
      </c>
      <c r="P13">
        <v>2.6</v>
      </c>
      <c r="Q13">
        <v>166</v>
      </c>
      <c r="R13" t="s">
        <v>47</v>
      </c>
    </row>
    <row r="14" spans="1:18">
      <c r="A14" t="s">
        <v>30</v>
      </c>
      <c r="B14">
        <v>191</v>
      </c>
      <c r="C14">
        <v>205</v>
      </c>
      <c r="D14">
        <v>201</v>
      </c>
      <c r="E14">
        <v>184</v>
      </c>
      <c r="F14">
        <v>213</v>
      </c>
      <c r="G14">
        <v>175</v>
      </c>
      <c r="H14" t="s">
        <v>37</v>
      </c>
      <c r="I14" t="s">
        <v>41</v>
      </c>
      <c r="J14">
        <v>301</v>
      </c>
      <c r="K14">
        <v>195</v>
      </c>
      <c r="L14">
        <v>7</v>
      </c>
      <c r="M14">
        <v>69</v>
      </c>
      <c r="N14">
        <v>264</v>
      </c>
      <c r="O14" t="s">
        <v>45</v>
      </c>
      <c r="P14">
        <v>1.5</v>
      </c>
      <c r="Q14">
        <v>114</v>
      </c>
      <c r="R14" t="s">
        <v>47</v>
      </c>
    </row>
    <row r="15" spans="1:18">
      <c r="A15" t="s">
        <v>31</v>
      </c>
      <c r="B15">
        <v>17</v>
      </c>
      <c r="C15">
        <v>16</v>
      </c>
      <c r="D15">
        <v>14</v>
      </c>
      <c r="E15">
        <v>15</v>
      </c>
      <c r="F15">
        <v>16</v>
      </c>
      <c r="G15">
        <v>15</v>
      </c>
      <c r="H15" t="s">
        <v>38</v>
      </c>
      <c r="I15" t="s">
        <v>40</v>
      </c>
      <c r="J15">
        <v>43</v>
      </c>
      <c r="K15">
        <v>16</v>
      </c>
      <c r="L15">
        <v>14</v>
      </c>
      <c r="M15">
        <v>9</v>
      </c>
      <c r="N15">
        <v>25</v>
      </c>
      <c r="O15" t="s">
        <v>45</v>
      </c>
      <c r="P15">
        <v>2.7</v>
      </c>
      <c r="Q15">
        <v>172</v>
      </c>
      <c r="R15" t="s">
        <v>47</v>
      </c>
    </row>
    <row r="16" spans="1:18">
      <c r="A16" t="s">
        <v>32</v>
      </c>
      <c r="B16">
        <v>29</v>
      </c>
      <c r="C16">
        <v>26</v>
      </c>
      <c r="D16">
        <v>30</v>
      </c>
      <c r="E16">
        <v>25</v>
      </c>
      <c r="F16">
        <v>24</v>
      </c>
      <c r="G16">
        <v>25</v>
      </c>
      <c r="H16" t="s">
        <v>38</v>
      </c>
      <c r="I16" t="s">
        <v>40</v>
      </c>
      <c r="J16">
        <v>57</v>
      </c>
      <c r="K16">
        <v>26</v>
      </c>
      <c r="L16">
        <v>20</v>
      </c>
      <c r="M16">
        <v>12</v>
      </c>
      <c r="N16">
        <v>38</v>
      </c>
      <c r="O16" t="s">
        <v>45</v>
      </c>
      <c r="P16">
        <v>2.2</v>
      </c>
      <c r="Q16">
        <v>150</v>
      </c>
      <c r="R16" t="s">
        <v>47</v>
      </c>
    </row>
    <row r="17" spans="1:18">
      <c r="A17" t="s">
        <v>33</v>
      </c>
      <c r="B17">
        <v>22</v>
      </c>
      <c r="C17">
        <v>23</v>
      </c>
      <c r="D17">
        <v>24</v>
      </c>
      <c r="E17">
        <v>23</v>
      </c>
      <c r="F17">
        <v>20</v>
      </c>
      <c r="G17">
        <v>19</v>
      </c>
      <c r="H17" t="s">
        <v>38</v>
      </c>
      <c r="I17" t="s">
        <v>40</v>
      </c>
      <c r="J17">
        <v>18</v>
      </c>
      <c r="K17">
        <v>22</v>
      </c>
      <c r="L17">
        <v>7</v>
      </c>
      <c r="M17">
        <v>12</v>
      </c>
      <c r="N17">
        <v>34</v>
      </c>
      <c r="O17" t="s">
        <v>46</v>
      </c>
      <c r="P17">
        <v>0.8</v>
      </c>
      <c r="Q17">
        <v>52.9</v>
      </c>
      <c r="R17" t="s">
        <v>47</v>
      </c>
    </row>
    <row r="18" spans="1:18">
      <c r="A18" t="s">
        <v>34</v>
      </c>
      <c r="B18">
        <v>11</v>
      </c>
      <c r="C18">
        <v>11</v>
      </c>
      <c r="D18">
        <v>12</v>
      </c>
      <c r="E18">
        <v>9</v>
      </c>
      <c r="F18">
        <v>9</v>
      </c>
      <c r="G18">
        <v>10</v>
      </c>
      <c r="H18" t="s">
        <v>38</v>
      </c>
      <c r="I18" t="s">
        <v>40</v>
      </c>
      <c r="J18">
        <v>20</v>
      </c>
      <c r="K18">
        <v>10</v>
      </c>
      <c r="L18">
        <v>10</v>
      </c>
      <c r="M18">
        <v>3</v>
      </c>
      <c r="N18">
        <v>13</v>
      </c>
      <c r="O18" t="s">
        <v>45</v>
      </c>
      <c r="P18">
        <v>2</v>
      </c>
      <c r="Q18">
        <v>153.8</v>
      </c>
      <c r="R18" t="s">
        <v>47</v>
      </c>
    </row>
    <row r="19" spans="1:18">
      <c r="A19" t="s">
        <v>35</v>
      </c>
      <c r="B19">
        <v>12</v>
      </c>
      <c r="C19">
        <v>9</v>
      </c>
      <c r="D19">
        <v>12</v>
      </c>
      <c r="E19">
        <v>13</v>
      </c>
      <c r="F19">
        <v>10</v>
      </c>
      <c r="G19">
        <v>10</v>
      </c>
      <c r="H19" t="s">
        <v>38</v>
      </c>
      <c r="I19" t="s">
        <v>40</v>
      </c>
      <c r="J19">
        <v>21</v>
      </c>
      <c r="K19">
        <v>11</v>
      </c>
      <c r="L19">
        <v>10</v>
      </c>
      <c r="M19">
        <v>4</v>
      </c>
      <c r="N19">
        <v>15</v>
      </c>
      <c r="O19" t="s">
        <v>45</v>
      </c>
      <c r="P19">
        <v>1.9</v>
      </c>
      <c r="Q19">
        <v>140</v>
      </c>
      <c r="R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>
      <c r="A2" t="s">
        <v>18</v>
      </c>
      <c r="B2" t="s">
        <v>36</v>
      </c>
      <c r="C2" t="s">
        <v>39</v>
      </c>
      <c r="D2">
        <v>212</v>
      </c>
      <c r="E2">
        <v>115</v>
      </c>
      <c r="F2">
        <v>14</v>
      </c>
      <c r="G2">
        <v>53</v>
      </c>
      <c r="H2">
        <v>168</v>
      </c>
      <c r="I2" t="s">
        <v>45</v>
      </c>
      <c r="J2">
        <v>1.8</v>
      </c>
      <c r="K2">
        <v>126.2</v>
      </c>
      <c r="L2" t="s">
        <v>47</v>
      </c>
    </row>
    <row r="3" spans="1:12">
      <c r="A3" t="s">
        <v>19</v>
      </c>
      <c r="B3" t="s">
        <v>36</v>
      </c>
      <c r="C3" t="s">
        <v>39</v>
      </c>
      <c r="D3">
        <v>27</v>
      </c>
      <c r="E3">
        <v>13</v>
      </c>
      <c r="F3">
        <v>7</v>
      </c>
      <c r="G3">
        <v>7</v>
      </c>
      <c r="H3">
        <v>20</v>
      </c>
      <c r="I3" t="s">
        <v>45</v>
      </c>
      <c r="J3">
        <v>2.1</v>
      </c>
      <c r="K3">
        <v>135</v>
      </c>
      <c r="L3" t="s">
        <v>47</v>
      </c>
    </row>
    <row r="4" spans="1:12">
      <c r="A4" t="s">
        <v>20</v>
      </c>
      <c r="B4" t="s">
        <v>36</v>
      </c>
      <c r="C4" t="s">
        <v>39</v>
      </c>
      <c r="D4">
        <v>73</v>
      </c>
      <c r="E4">
        <v>59</v>
      </c>
      <c r="F4">
        <v>14</v>
      </c>
      <c r="G4">
        <v>28</v>
      </c>
      <c r="H4">
        <v>87</v>
      </c>
      <c r="I4" t="s">
        <v>46</v>
      </c>
      <c r="J4">
        <v>1.2</v>
      </c>
      <c r="K4">
        <v>83.90000000000001</v>
      </c>
      <c r="L4" t="s">
        <v>48</v>
      </c>
    </row>
    <row r="5" spans="1:12">
      <c r="A5" t="s">
        <v>21</v>
      </c>
      <c r="B5" t="s">
        <v>36</v>
      </c>
      <c r="C5" t="s">
        <v>39</v>
      </c>
      <c r="D5">
        <v>104</v>
      </c>
      <c r="E5">
        <v>46</v>
      </c>
      <c r="F5">
        <v>7</v>
      </c>
      <c r="G5">
        <v>21</v>
      </c>
      <c r="H5">
        <v>67</v>
      </c>
      <c r="I5" t="s">
        <v>45</v>
      </c>
      <c r="J5">
        <v>2.3</v>
      </c>
      <c r="K5">
        <v>155.2</v>
      </c>
      <c r="L5" t="s">
        <v>47</v>
      </c>
    </row>
    <row r="6" spans="1:12">
      <c r="A6" t="s">
        <v>22</v>
      </c>
      <c r="B6" t="s">
        <v>36</v>
      </c>
      <c r="C6" t="s">
        <v>39</v>
      </c>
      <c r="D6">
        <v>91</v>
      </c>
      <c r="E6">
        <v>82</v>
      </c>
      <c r="F6">
        <v>14</v>
      </c>
      <c r="G6">
        <v>33</v>
      </c>
      <c r="H6">
        <v>115</v>
      </c>
      <c r="I6" t="s">
        <v>46</v>
      </c>
      <c r="J6">
        <v>1.1</v>
      </c>
      <c r="K6">
        <v>79.09999999999999</v>
      </c>
      <c r="L6" t="s">
        <v>48</v>
      </c>
    </row>
    <row r="7" spans="1:12">
      <c r="A7" t="s">
        <v>23</v>
      </c>
      <c r="B7" t="s">
        <v>36</v>
      </c>
      <c r="C7" t="s">
        <v>39</v>
      </c>
      <c r="D7">
        <v>171</v>
      </c>
      <c r="E7">
        <v>71</v>
      </c>
      <c r="F7">
        <v>14</v>
      </c>
      <c r="G7">
        <v>30</v>
      </c>
      <c r="H7">
        <v>101</v>
      </c>
      <c r="I7" t="s">
        <v>45</v>
      </c>
      <c r="J7">
        <v>2.4</v>
      </c>
      <c r="K7">
        <v>169.3</v>
      </c>
      <c r="L7" t="s">
        <v>47</v>
      </c>
    </row>
    <row r="8" spans="1:12">
      <c r="A8" t="s">
        <v>24</v>
      </c>
      <c r="B8" t="s">
        <v>36</v>
      </c>
      <c r="C8" t="s">
        <v>40</v>
      </c>
      <c r="D8">
        <v>151</v>
      </c>
      <c r="E8">
        <v>122</v>
      </c>
      <c r="F8">
        <v>7</v>
      </c>
      <c r="G8">
        <v>32</v>
      </c>
      <c r="H8">
        <v>154</v>
      </c>
      <c r="I8" t="s">
        <v>46</v>
      </c>
      <c r="J8">
        <v>1.2</v>
      </c>
      <c r="K8">
        <v>98.09999999999999</v>
      </c>
      <c r="L8" t="s">
        <v>47</v>
      </c>
    </row>
    <row r="9" spans="1:12">
      <c r="A9" t="s">
        <v>25</v>
      </c>
      <c r="B9" t="s">
        <v>36</v>
      </c>
      <c r="C9" t="s">
        <v>41</v>
      </c>
      <c r="D9">
        <v>123</v>
      </c>
      <c r="E9">
        <v>88</v>
      </c>
      <c r="F9">
        <v>10</v>
      </c>
      <c r="G9">
        <v>24</v>
      </c>
      <c r="H9">
        <v>112</v>
      </c>
      <c r="I9" t="s">
        <v>45</v>
      </c>
      <c r="J9">
        <v>1.4</v>
      </c>
      <c r="K9">
        <v>109.8</v>
      </c>
      <c r="L9" t="s">
        <v>47</v>
      </c>
    </row>
    <row r="10" spans="1:12">
      <c r="A10" t="s">
        <v>26</v>
      </c>
      <c r="B10" t="s">
        <v>37</v>
      </c>
      <c r="C10" t="s">
        <v>42</v>
      </c>
      <c r="D10">
        <v>156</v>
      </c>
      <c r="E10">
        <v>60</v>
      </c>
      <c r="F10">
        <v>7</v>
      </c>
      <c r="G10">
        <v>22</v>
      </c>
      <c r="H10">
        <v>82</v>
      </c>
      <c r="I10" t="s">
        <v>45</v>
      </c>
      <c r="J10">
        <v>2.6</v>
      </c>
      <c r="K10">
        <v>190.2</v>
      </c>
      <c r="L10" t="s">
        <v>47</v>
      </c>
    </row>
    <row r="11" spans="1:12">
      <c r="A11" t="s">
        <v>27</v>
      </c>
      <c r="B11" t="s">
        <v>37</v>
      </c>
      <c r="C11" t="s">
        <v>42</v>
      </c>
      <c r="D11">
        <v>447</v>
      </c>
      <c r="E11">
        <v>196</v>
      </c>
      <c r="F11">
        <v>14</v>
      </c>
      <c r="G11">
        <v>57</v>
      </c>
      <c r="H11">
        <v>253</v>
      </c>
      <c r="I11" t="s">
        <v>45</v>
      </c>
      <c r="J11">
        <v>2.3</v>
      </c>
      <c r="K11">
        <v>176.7</v>
      </c>
      <c r="L11" t="s">
        <v>47</v>
      </c>
    </row>
    <row r="12" spans="1:12">
      <c r="A12" t="s">
        <v>28</v>
      </c>
      <c r="B12" t="s">
        <v>37</v>
      </c>
      <c r="C12" t="s">
        <v>43</v>
      </c>
      <c r="D12">
        <v>548</v>
      </c>
      <c r="E12">
        <v>258</v>
      </c>
      <c r="F12">
        <v>20</v>
      </c>
      <c r="G12">
        <v>76</v>
      </c>
      <c r="H12">
        <v>334</v>
      </c>
      <c r="I12" t="s">
        <v>45</v>
      </c>
      <c r="J12">
        <v>2.1</v>
      </c>
      <c r="K12">
        <v>164.1</v>
      </c>
      <c r="L12" t="s">
        <v>47</v>
      </c>
    </row>
    <row r="13" spans="1:12">
      <c r="A13" t="s">
        <v>29</v>
      </c>
      <c r="B13" t="s">
        <v>37</v>
      </c>
      <c r="C13" t="s">
        <v>44</v>
      </c>
      <c r="D13">
        <v>639</v>
      </c>
      <c r="E13">
        <v>245</v>
      </c>
      <c r="F13">
        <v>20</v>
      </c>
      <c r="G13">
        <v>140</v>
      </c>
      <c r="H13">
        <v>385</v>
      </c>
      <c r="I13" t="s">
        <v>45</v>
      </c>
      <c r="J13">
        <v>2.6</v>
      </c>
      <c r="K13">
        <v>166</v>
      </c>
      <c r="L13" t="s">
        <v>47</v>
      </c>
    </row>
    <row r="14" spans="1:12">
      <c r="A14" t="s">
        <v>30</v>
      </c>
      <c r="B14" t="s">
        <v>37</v>
      </c>
      <c r="C14" t="s">
        <v>41</v>
      </c>
      <c r="D14">
        <v>301</v>
      </c>
      <c r="E14">
        <v>195</v>
      </c>
      <c r="F14">
        <v>7</v>
      </c>
      <c r="G14">
        <v>69</v>
      </c>
      <c r="H14">
        <v>264</v>
      </c>
      <c r="I14" t="s">
        <v>45</v>
      </c>
      <c r="J14">
        <v>1.5</v>
      </c>
      <c r="K14">
        <v>114</v>
      </c>
      <c r="L14" t="s">
        <v>47</v>
      </c>
    </row>
    <row r="15" spans="1:12">
      <c r="A15" t="s">
        <v>31</v>
      </c>
      <c r="B15" t="s">
        <v>38</v>
      </c>
      <c r="C15" t="s">
        <v>40</v>
      </c>
      <c r="D15">
        <v>43</v>
      </c>
      <c r="E15">
        <v>16</v>
      </c>
      <c r="F15">
        <v>14</v>
      </c>
      <c r="G15">
        <v>9</v>
      </c>
      <c r="H15">
        <v>25</v>
      </c>
      <c r="I15" t="s">
        <v>45</v>
      </c>
      <c r="J15">
        <v>2.7</v>
      </c>
      <c r="K15">
        <v>172</v>
      </c>
      <c r="L15" t="s">
        <v>47</v>
      </c>
    </row>
    <row r="16" spans="1:12">
      <c r="A16" t="s">
        <v>32</v>
      </c>
      <c r="B16" t="s">
        <v>38</v>
      </c>
      <c r="C16" t="s">
        <v>40</v>
      </c>
      <c r="D16">
        <v>57</v>
      </c>
      <c r="E16">
        <v>26</v>
      </c>
      <c r="F16">
        <v>20</v>
      </c>
      <c r="G16">
        <v>12</v>
      </c>
      <c r="H16">
        <v>38</v>
      </c>
      <c r="I16" t="s">
        <v>45</v>
      </c>
      <c r="J16">
        <v>2.2</v>
      </c>
      <c r="K16">
        <v>150</v>
      </c>
      <c r="L16" t="s">
        <v>47</v>
      </c>
    </row>
    <row r="17" spans="1:12">
      <c r="A17" t="s">
        <v>33</v>
      </c>
      <c r="B17" t="s">
        <v>38</v>
      </c>
      <c r="C17" t="s">
        <v>40</v>
      </c>
      <c r="D17">
        <v>18</v>
      </c>
      <c r="E17">
        <v>22</v>
      </c>
      <c r="F17">
        <v>7</v>
      </c>
      <c r="G17">
        <v>12</v>
      </c>
      <c r="H17">
        <v>34</v>
      </c>
      <c r="I17" t="s">
        <v>46</v>
      </c>
      <c r="J17">
        <v>0.8</v>
      </c>
      <c r="K17">
        <v>52.9</v>
      </c>
      <c r="L17" t="s">
        <v>47</v>
      </c>
    </row>
    <row r="18" spans="1:12">
      <c r="A18" t="s">
        <v>34</v>
      </c>
      <c r="B18" t="s">
        <v>38</v>
      </c>
      <c r="C18" t="s">
        <v>40</v>
      </c>
      <c r="D18">
        <v>20</v>
      </c>
      <c r="E18">
        <v>10</v>
      </c>
      <c r="F18">
        <v>10</v>
      </c>
      <c r="G18">
        <v>3</v>
      </c>
      <c r="H18">
        <v>13</v>
      </c>
      <c r="I18" t="s">
        <v>45</v>
      </c>
      <c r="J18">
        <v>2</v>
      </c>
      <c r="K18">
        <v>153.8</v>
      </c>
      <c r="L18" t="s">
        <v>47</v>
      </c>
    </row>
    <row r="19" spans="1:12">
      <c r="A19" t="s">
        <v>35</v>
      </c>
      <c r="B19" t="s">
        <v>38</v>
      </c>
      <c r="C19" t="s">
        <v>40</v>
      </c>
      <c r="D19">
        <v>21</v>
      </c>
      <c r="E19">
        <v>11</v>
      </c>
      <c r="F19">
        <v>10</v>
      </c>
      <c r="G19">
        <v>4</v>
      </c>
      <c r="H19">
        <v>15</v>
      </c>
      <c r="I19" t="s">
        <v>45</v>
      </c>
      <c r="J19">
        <v>1.9</v>
      </c>
      <c r="K19">
        <v>140</v>
      </c>
      <c r="L19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122</v>
      </c>
      <c r="C2">
        <v>109</v>
      </c>
      <c r="D2">
        <v>120</v>
      </c>
      <c r="E2">
        <v>114</v>
      </c>
      <c r="F2">
        <v>115</v>
      </c>
      <c r="G2">
        <v>109</v>
      </c>
    </row>
    <row r="3" spans="1:7">
      <c r="A3" t="s">
        <v>19</v>
      </c>
      <c r="B3">
        <v>14</v>
      </c>
      <c r="C3">
        <v>13</v>
      </c>
      <c r="D3">
        <v>12</v>
      </c>
      <c r="E3">
        <v>13</v>
      </c>
      <c r="F3">
        <v>13</v>
      </c>
      <c r="G3">
        <v>12</v>
      </c>
    </row>
    <row r="4" spans="1:7">
      <c r="A4" t="s">
        <v>20</v>
      </c>
      <c r="B4">
        <v>59</v>
      </c>
      <c r="C4">
        <v>63</v>
      </c>
      <c r="D4">
        <v>60</v>
      </c>
      <c r="E4">
        <v>70</v>
      </c>
      <c r="F4">
        <v>50</v>
      </c>
      <c r="G4">
        <v>54</v>
      </c>
    </row>
    <row r="5" spans="1:7">
      <c r="A5" t="s">
        <v>21</v>
      </c>
      <c r="B5">
        <v>45</v>
      </c>
      <c r="C5">
        <v>51</v>
      </c>
      <c r="D5">
        <v>50</v>
      </c>
      <c r="E5">
        <v>42</v>
      </c>
      <c r="F5">
        <v>45</v>
      </c>
      <c r="G5">
        <v>43</v>
      </c>
    </row>
    <row r="6" spans="1:7">
      <c r="A6" t="s">
        <v>22</v>
      </c>
      <c r="B6">
        <v>84</v>
      </c>
      <c r="C6">
        <v>88</v>
      </c>
      <c r="D6">
        <v>82</v>
      </c>
      <c r="E6">
        <v>82</v>
      </c>
      <c r="F6">
        <v>73</v>
      </c>
      <c r="G6">
        <v>81</v>
      </c>
    </row>
    <row r="7" spans="1:7">
      <c r="A7" t="s">
        <v>23</v>
      </c>
      <c r="B7">
        <v>75</v>
      </c>
      <c r="C7">
        <v>74</v>
      </c>
      <c r="D7">
        <v>80</v>
      </c>
      <c r="E7">
        <v>75</v>
      </c>
      <c r="F7">
        <v>58</v>
      </c>
      <c r="G7">
        <v>64</v>
      </c>
    </row>
    <row r="8" spans="1:7">
      <c r="A8" t="s">
        <v>24</v>
      </c>
      <c r="B8">
        <v>124</v>
      </c>
      <c r="C8">
        <v>137</v>
      </c>
      <c r="D8">
        <v>129</v>
      </c>
      <c r="E8">
        <v>127</v>
      </c>
      <c r="F8">
        <v>100</v>
      </c>
      <c r="G8">
        <v>118</v>
      </c>
    </row>
    <row r="9" spans="1:7">
      <c r="A9" t="s">
        <v>25</v>
      </c>
      <c r="B9">
        <v>82</v>
      </c>
      <c r="C9">
        <v>80</v>
      </c>
      <c r="D9">
        <v>92</v>
      </c>
      <c r="E9">
        <v>86</v>
      </c>
      <c r="F9">
        <v>98</v>
      </c>
      <c r="G9">
        <v>89</v>
      </c>
    </row>
    <row r="10" spans="1:7">
      <c r="A10" t="s">
        <v>26</v>
      </c>
      <c r="B10">
        <v>56</v>
      </c>
      <c r="C10">
        <v>60</v>
      </c>
      <c r="D10">
        <v>64</v>
      </c>
      <c r="E10">
        <v>50</v>
      </c>
      <c r="F10">
        <v>69</v>
      </c>
      <c r="G10">
        <v>63</v>
      </c>
    </row>
    <row r="11" spans="1:7">
      <c r="A11" t="s">
        <v>27</v>
      </c>
      <c r="B11">
        <v>181</v>
      </c>
      <c r="C11">
        <v>197</v>
      </c>
      <c r="D11">
        <v>217</v>
      </c>
      <c r="E11">
        <v>191</v>
      </c>
      <c r="F11">
        <v>196</v>
      </c>
      <c r="G11">
        <v>191</v>
      </c>
    </row>
    <row r="12" spans="1:7">
      <c r="A12" t="s">
        <v>28</v>
      </c>
      <c r="B12">
        <v>241</v>
      </c>
      <c r="C12">
        <v>274</v>
      </c>
      <c r="D12">
        <v>266</v>
      </c>
      <c r="E12">
        <v>243</v>
      </c>
      <c r="F12">
        <v>280</v>
      </c>
      <c r="G12">
        <v>242</v>
      </c>
    </row>
    <row r="13" spans="1:7">
      <c r="A13" t="s">
        <v>29</v>
      </c>
      <c r="B13">
        <v>261</v>
      </c>
      <c r="C13">
        <v>280</v>
      </c>
      <c r="D13">
        <v>265</v>
      </c>
      <c r="E13">
        <v>230</v>
      </c>
      <c r="F13">
        <v>215</v>
      </c>
      <c r="G13">
        <v>217</v>
      </c>
    </row>
    <row r="14" spans="1:7">
      <c r="A14" t="s">
        <v>30</v>
      </c>
      <c r="B14">
        <v>191</v>
      </c>
      <c r="C14">
        <v>205</v>
      </c>
      <c r="D14">
        <v>201</v>
      </c>
      <c r="E14">
        <v>184</v>
      </c>
      <c r="F14">
        <v>213</v>
      </c>
      <c r="G14">
        <v>175</v>
      </c>
    </row>
    <row r="15" spans="1:7">
      <c r="A15" t="s">
        <v>31</v>
      </c>
      <c r="B15">
        <v>17</v>
      </c>
      <c r="C15">
        <v>16</v>
      </c>
      <c r="D15">
        <v>14</v>
      </c>
      <c r="E15">
        <v>15</v>
      </c>
      <c r="F15">
        <v>16</v>
      </c>
      <c r="G15">
        <v>15</v>
      </c>
    </row>
    <row r="16" spans="1:7">
      <c r="A16" t="s">
        <v>32</v>
      </c>
      <c r="B16">
        <v>29</v>
      </c>
      <c r="C16">
        <v>26</v>
      </c>
      <c r="D16">
        <v>30</v>
      </c>
      <c r="E16">
        <v>25</v>
      </c>
      <c r="F16">
        <v>24</v>
      </c>
      <c r="G16">
        <v>25</v>
      </c>
    </row>
    <row r="17" spans="1:7">
      <c r="A17" t="s">
        <v>33</v>
      </c>
      <c r="B17">
        <v>22</v>
      </c>
      <c r="C17">
        <v>23</v>
      </c>
      <c r="D17">
        <v>24</v>
      </c>
      <c r="E17">
        <v>23</v>
      </c>
      <c r="F17">
        <v>20</v>
      </c>
      <c r="G17">
        <v>19</v>
      </c>
    </row>
    <row r="18" spans="1:7">
      <c r="A18" t="s">
        <v>34</v>
      </c>
      <c r="B18">
        <v>11</v>
      </c>
      <c r="C18">
        <v>11</v>
      </c>
      <c r="D18">
        <v>12</v>
      </c>
      <c r="E18">
        <v>9</v>
      </c>
      <c r="F18">
        <v>9</v>
      </c>
      <c r="G18">
        <v>10</v>
      </c>
    </row>
    <row r="19" spans="1:7">
      <c r="A19" t="s">
        <v>35</v>
      </c>
      <c r="B19">
        <v>12</v>
      </c>
      <c r="C19">
        <v>9</v>
      </c>
      <c r="D19">
        <v>12</v>
      </c>
      <c r="E19">
        <v>13</v>
      </c>
      <c r="F19">
        <v>10</v>
      </c>
      <c r="G1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49</v>
      </c>
      <c r="B1" s="1" t="s">
        <v>50</v>
      </c>
    </row>
    <row r="2" spans="1:2">
      <c r="A2" t="s">
        <v>1</v>
      </c>
      <c r="B2">
        <v>1626</v>
      </c>
    </row>
    <row r="3" spans="1:2">
      <c r="A3" t="s">
        <v>2</v>
      </c>
      <c r="B3">
        <v>1716</v>
      </c>
    </row>
    <row r="4" spans="1:2">
      <c r="A4" t="s">
        <v>3</v>
      </c>
      <c r="B4">
        <v>1730</v>
      </c>
    </row>
    <row r="5" spans="1:2">
      <c r="A5" t="s">
        <v>4</v>
      </c>
      <c r="B5">
        <v>1592</v>
      </c>
    </row>
    <row r="6" spans="1:2">
      <c r="A6" t="s">
        <v>5</v>
      </c>
      <c r="B6">
        <v>1604</v>
      </c>
    </row>
    <row r="7" spans="1:2">
      <c r="A7" t="s">
        <v>6</v>
      </c>
      <c r="B7">
        <v>1537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</v>
      </c>
      <c r="B2">
        <v>241</v>
      </c>
      <c r="C2">
        <v>274</v>
      </c>
      <c r="D2">
        <v>266</v>
      </c>
      <c r="E2">
        <v>243</v>
      </c>
      <c r="F2">
        <v>280</v>
      </c>
      <c r="G2">
        <v>242</v>
      </c>
    </row>
    <row r="3" spans="1:7">
      <c r="A3" t="s">
        <v>29</v>
      </c>
      <c r="B3">
        <v>261</v>
      </c>
      <c r="C3">
        <v>280</v>
      </c>
      <c r="D3">
        <v>265</v>
      </c>
      <c r="E3">
        <v>230</v>
      </c>
      <c r="F3">
        <v>215</v>
      </c>
      <c r="G3">
        <v>217</v>
      </c>
    </row>
    <row r="4" spans="1:7">
      <c r="A4" t="s">
        <v>27</v>
      </c>
      <c r="B4">
        <v>181</v>
      </c>
      <c r="C4">
        <v>197</v>
      </c>
      <c r="D4">
        <v>217</v>
      </c>
      <c r="E4">
        <v>191</v>
      </c>
      <c r="F4">
        <v>196</v>
      </c>
      <c r="G4">
        <v>191</v>
      </c>
    </row>
    <row r="5" spans="1:7">
      <c r="A5" t="s">
        <v>30</v>
      </c>
      <c r="B5">
        <v>191</v>
      </c>
      <c r="C5">
        <v>205</v>
      </c>
      <c r="D5">
        <v>201</v>
      </c>
      <c r="E5">
        <v>184</v>
      </c>
      <c r="F5">
        <v>213</v>
      </c>
      <c r="G5">
        <v>175</v>
      </c>
    </row>
    <row r="6" spans="1:7">
      <c r="A6" t="s">
        <v>24</v>
      </c>
      <c r="B6">
        <v>124</v>
      </c>
      <c r="C6">
        <v>137</v>
      </c>
      <c r="D6">
        <v>129</v>
      </c>
      <c r="E6">
        <v>127</v>
      </c>
      <c r="F6">
        <v>100</v>
      </c>
      <c r="G6">
        <v>118</v>
      </c>
    </row>
    <row r="7" spans="1:7">
      <c r="A7" t="s">
        <v>18</v>
      </c>
      <c r="B7">
        <v>122</v>
      </c>
      <c r="C7">
        <v>109</v>
      </c>
      <c r="D7">
        <v>120</v>
      </c>
      <c r="E7">
        <v>114</v>
      </c>
      <c r="F7">
        <v>115</v>
      </c>
      <c r="G7">
        <v>109</v>
      </c>
    </row>
    <row r="8" spans="1:7">
      <c r="A8" t="s">
        <v>25</v>
      </c>
      <c r="B8">
        <v>82</v>
      </c>
      <c r="C8">
        <v>80</v>
      </c>
      <c r="D8">
        <v>92</v>
      </c>
      <c r="E8">
        <v>86</v>
      </c>
      <c r="F8">
        <v>98</v>
      </c>
      <c r="G8">
        <v>89</v>
      </c>
    </row>
    <row r="9" spans="1:7">
      <c r="A9" t="s">
        <v>22</v>
      </c>
      <c r="B9">
        <v>84</v>
      </c>
      <c r="C9">
        <v>88</v>
      </c>
      <c r="D9">
        <v>82</v>
      </c>
      <c r="E9">
        <v>82</v>
      </c>
      <c r="F9">
        <v>73</v>
      </c>
      <c r="G9">
        <v>81</v>
      </c>
    </row>
    <row r="10" spans="1:7">
      <c r="A10" t="s">
        <v>23</v>
      </c>
      <c r="B10">
        <v>75</v>
      </c>
      <c r="C10">
        <v>74</v>
      </c>
      <c r="D10">
        <v>80</v>
      </c>
      <c r="E10">
        <v>75</v>
      </c>
      <c r="F10">
        <v>58</v>
      </c>
      <c r="G10">
        <v>64</v>
      </c>
    </row>
    <row r="11" spans="1:7">
      <c r="A11" t="s">
        <v>26</v>
      </c>
      <c r="B11">
        <v>56</v>
      </c>
      <c r="C11">
        <v>60</v>
      </c>
      <c r="D11">
        <v>64</v>
      </c>
      <c r="E11">
        <v>50</v>
      </c>
      <c r="F11">
        <v>69</v>
      </c>
      <c r="G11">
        <v>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</row>
    <row r="2" spans="1:8">
      <c r="A2" t="s">
        <v>38</v>
      </c>
      <c r="B2">
        <v>11</v>
      </c>
      <c r="C2">
        <v>11</v>
      </c>
      <c r="D2">
        <v>12</v>
      </c>
      <c r="E2">
        <v>9</v>
      </c>
      <c r="F2">
        <v>9</v>
      </c>
      <c r="G2">
        <v>10</v>
      </c>
      <c r="H2" t="s">
        <v>34</v>
      </c>
    </row>
    <row r="3" spans="1:8">
      <c r="A3" t="s">
        <v>38</v>
      </c>
      <c r="B3">
        <v>12</v>
      </c>
      <c r="C3">
        <v>9</v>
      </c>
      <c r="D3">
        <v>12</v>
      </c>
      <c r="E3">
        <v>13</v>
      </c>
      <c r="F3">
        <v>10</v>
      </c>
      <c r="G3">
        <v>10</v>
      </c>
      <c r="H3" t="s">
        <v>35</v>
      </c>
    </row>
    <row r="4" spans="1:8">
      <c r="A4" t="s">
        <v>38</v>
      </c>
      <c r="B4">
        <v>17</v>
      </c>
      <c r="C4">
        <v>16</v>
      </c>
      <c r="D4">
        <v>14</v>
      </c>
      <c r="E4">
        <v>15</v>
      </c>
      <c r="F4">
        <v>16</v>
      </c>
      <c r="G4">
        <v>15</v>
      </c>
      <c r="H4" t="s">
        <v>31</v>
      </c>
    </row>
    <row r="5" spans="1:8">
      <c r="A5" t="s">
        <v>38</v>
      </c>
      <c r="B5">
        <v>22</v>
      </c>
      <c r="C5">
        <v>23</v>
      </c>
      <c r="D5">
        <v>24</v>
      </c>
      <c r="E5">
        <v>23</v>
      </c>
      <c r="F5">
        <v>20</v>
      </c>
      <c r="G5">
        <v>19</v>
      </c>
      <c r="H5" t="s">
        <v>33</v>
      </c>
    </row>
    <row r="6" spans="1:8">
      <c r="A6" t="s">
        <v>38</v>
      </c>
      <c r="B6">
        <v>29</v>
      </c>
      <c r="C6">
        <v>26</v>
      </c>
      <c r="D6">
        <v>30</v>
      </c>
      <c r="E6">
        <v>25</v>
      </c>
      <c r="F6">
        <v>24</v>
      </c>
      <c r="G6">
        <v>25</v>
      </c>
      <c r="H6" t="s">
        <v>32</v>
      </c>
    </row>
    <row r="7" spans="1:8">
      <c r="A7" t="s">
        <v>36</v>
      </c>
      <c r="B7">
        <v>14</v>
      </c>
      <c r="C7">
        <v>13</v>
      </c>
      <c r="D7">
        <v>12</v>
      </c>
      <c r="E7">
        <v>13</v>
      </c>
      <c r="F7">
        <v>13</v>
      </c>
      <c r="G7">
        <v>12</v>
      </c>
      <c r="H7" t="s">
        <v>19</v>
      </c>
    </row>
    <row r="8" spans="1:8">
      <c r="A8" t="s">
        <v>36</v>
      </c>
      <c r="B8">
        <v>45</v>
      </c>
      <c r="C8">
        <v>51</v>
      </c>
      <c r="D8">
        <v>50</v>
      </c>
      <c r="E8">
        <v>42</v>
      </c>
      <c r="F8">
        <v>45</v>
      </c>
      <c r="G8">
        <v>43</v>
      </c>
      <c r="H8" t="s">
        <v>21</v>
      </c>
    </row>
    <row r="9" spans="1:8">
      <c r="A9" t="s">
        <v>36</v>
      </c>
      <c r="B9">
        <v>59</v>
      </c>
      <c r="C9">
        <v>63</v>
      </c>
      <c r="D9">
        <v>60</v>
      </c>
      <c r="E9">
        <v>70</v>
      </c>
      <c r="F9">
        <v>50</v>
      </c>
      <c r="G9">
        <v>54</v>
      </c>
      <c r="H9" t="s">
        <v>20</v>
      </c>
    </row>
    <row r="10" spans="1:8">
      <c r="A10" t="s">
        <v>36</v>
      </c>
      <c r="B10">
        <v>75</v>
      </c>
      <c r="C10">
        <v>74</v>
      </c>
      <c r="D10">
        <v>80</v>
      </c>
      <c r="E10">
        <v>75</v>
      </c>
      <c r="F10">
        <v>58</v>
      </c>
      <c r="G10">
        <v>64</v>
      </c>
      <c r="H10" t="s">
        <v>23</v>
      </c>
    </row>
    <row r="11" spans="1:8">
      <c r="A11" t="s">
        <v>36</v>
      </c>
      <c r="B11">
        <v>82</v>
      </c>
      <c r="C11">
        <v>80</v>
      </c>
      <c r="D11">
        <v>92</v>
      </c>
      <c r="E11">
        <v>86</v>
      </c>
      <c r="F11">
        <v>98</v>
      </c>
      <c r="G11">
        <v>89</v>
      </c>
      <c r="H11" t="s">
        <v>25</v>
      </c>
    </row>
    <row r="12" spans="1:8">
      <c r="A12" t="s">
        <v>36</v>
      </c>
      <c r="B12">
        <v>84</v>
      </c>
      <c r="C12">
        <v>88</v>
      </c>
      <c r="D12">
        <v>82</v>
      </c>
      <c r="E12">
        <v>82</v>
      </c>
      <c r="F12">
        <v>73</v>
      </c>
      <c r="G12">
        <v>81</v>
      </c>
      <c r="H12" t="s">
        <v>22</v>
      </c>
    </row>
    <row r="13" spans="1:8">
      <c r="A13" t="s">
        <v>36</v>
      </c>
      <c r="B13">
        <v>122</v>
      </c>
      <c r="C13">
        <v>109</v>
      </c>
      <c r="D13">
        <v>120</v>
      </c>
      <c r="E13">
        <v>114</v>
      </c>
      <c r="F13">
        <v>115</v>
      </c>
      <c r="G13">
        <v>109</v>
      </c>
      <c r="H13" t="s">
        <v>18</v>
      </c>
    </row>
    <row r="14" spans="1:8">
      <c r="A14" t="s">
        <v>36</v>
      </c>
      <c r="B14">
        <v>124</v>
      </c>
      <c r="C14">
        <v>137</v>
      </c>
      <c r="D14">
        <v>129</v>
      </c>
      <c r="E14">
        <v>127</v>
      </c>
      <c r="F14">
        <v>100</v>
      </c>
      <c r="G14">
        <v>118</v>
      </c>
      <c r="H14" t="s">
        <v>24</v>
      </c>
    </row>
    <row r="15" spans="1:8">
      <c r="A15" t="s">
        <v>37</v>
      </c>
      <c r="B15">
        <v>56</v>
      </c>
      <c r="C15">
        <v>60</v>
      </c>
      <c r="D15">
        <v>64</v>
      </c>
      <c r="E15">
        <v>50</v>
      </c>
      <c r="F15">
        <v>69</v>
      </c>
      <c r="G15">
        <v>63</v>
      </c>
      <c r="H15" t="s">
        <v>26</v>
      </c>
    </row>
    <row r="16" spans="1:8">
      <c r="A16" t="s">
        <v>37</v>
      </c>
      <c r="B16">
        <v>181</v>
      </c>
      <c r="C16">
        <v>197</v>
      </c>
      <c r="D16">
        <v>217</v>
      </c>
      <c r="E16">
        <v>191</v>
      </c>
      <c r="F16">
        <v>196</v>
      </c>
      <c r="G16">
        <v>191</v>
      </c>
      <c r="H16" t="s">
        <v>27</v>
      </c>
    </row>
    <row r="17" spans="1:8">
      <c r="A17" t="s">
        <v>37</v>
      </c>
      <c r="B17">
        <v>191</v>
      </c>
      <c r="C17">
        <v>205</v>
      </c>
      <c r="D17">
        <v>201</v>
      </c>
      <c r="E17">
        <v>184</v>
      </c>
      <c r="F17">
        <v>213</v>
      </c>
      <c r="G17">
        <v>175</v>
      </c>
      <c r="H17" t="s">
        <v>30</v>
      </c>
    </row>
    <row r="18" spans="1:8">
      <c r="A18" t="s">
        <v>37</v>
      </c>
      <c r="B18">
        <v>241</v>
      </c>
      <c r="C18">
        <v>274</v>
      </c>
      <c r="D18">
        <v>266</v>
      </c>
      <c r="E18">
        <v>243</v>
      </c>
      <c r="F18">
        <v>280</v>
      </c>
      <c r="G18">
        <v>242</v>
      </c>
      <c r="H18" t="s">
        <v>28</v>
      </c>
    </row>
    <row r="19" spans="1:8">
      <c r="A19" t="s">
        <v>37</v>
      </c>
      <c r="B19">
        <v>261</v>
      </c>
      <c r="C19">
        <v>280</v>
      </c>
      <c r="D19">
        <v>265</v>
      </c>
      <c r="E19">
        <v>230</v>
      </c>
      <c r="F19">
        <v>215</v>
      </c>
      <c r="G19">
        <v>217</v>
      </c>
      <c r="H19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7</v>
      </c>
      <c r="B1" s="1" t="s">
        <v>46</v>
      </c>
      <c r="C1" s="1" t="s">
        <v>45</v>
      </c>
    </row>
    <row r="2" spans="1:3">
      <c r="A2" t="s">
        <v>38</v>
      </c>
      <c r="B2">
        <v>1</v>
      </c>
      <c r="C2">
        <v>4</v>
      </c>
    </row>
    <row r="3" spans="1:3">
      <c r="A3" t="s">
        <v>36</v>
      </c>
      <c r="B3">
        <v>3</v>
      </c>
      <c r="C3">
        <v>5</v>
      </c>
    </row>
    <row r="4" spans="1:3">
      <c r="A4" t="s">
        <v>37</v>
      </c>
      <c r="B4">
        <v>0</v>
      </c>
      <c r="C4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>
        <v>6</v>
      </c>
    </row>
    <row r="3" spans="1:2">
      <c r="A3" t="s">
        <v>54</v>
      </c>
      <c r="B3">
        <v>9</v>
      </c>
    </row>
    <row r="4" spans="1:2">
      <c r="A4" t="s">
        <v>55</v>
      </c>
      <c r="B4">
        <v>3</v>
      </c>
    </row>
    <row r="5" spans="1:2">
      <c r="A5" t="s">
        <v>56</v>
      </c>
      <c r="B5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17</v>
      </c>
      <c r="B1" s="1" t="s">
        <v>52</v>
      </c>
    </row>
    <row r="2" spans="1:2">
      <c r="A2" t="s">
        <v>47</v>
      </c>
      <c r="B2">
        <v>16</v>
      </c>
    </row>
    <row r="3" spans="1:2">
      <c r="A3" t="s">
        <v>48</v>
      </c>
      <c r="B3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7</v>
      </c>
      <c r="B1" s="1" t="s">
        <v>57</v>
      </c>
    </row>
    <row r="2" spans="1:2">
      <c r="A2" t="s">
        <v>38</v>
      </c>
      <c r="B2">
        <v>10.3</v>
      </c>
    </row>
    <row r="3" spans="1:2">
      <c r="A3" t="s">
        <v>38</v>
      </c>
      <c r="B3">
        <v>11</v>
      </c>
    </row>
    <row r="4" spans="1:2">
      <c r="A4" t="s">
        <v>38</v>
      </c>
      <c r="B4">
        <v>15.5</v>
      </c>
    </row>
    <row r="5" spans="1:2">
      <c r="A5" t="s">
        <v>38</v>
      </c>
      <c r="B5">
        <v>21.8</v>
      </c>
    </row>
    <row r="6" spans="1:2">
      <c r="A6" t="s">
        <v>38</v>
      </c>
      <c r="B6">
        <v>26.5</v>
      </c>
    </row>
    <row r="7" spans="1:2">
      <c r="A7" t="s">
        <v>36</v>
      </c>
      <c r="B7">
        <v>12.8</v>
      </c>
    </row>
    <row r="8" spans="1:2">
      <c r="A8" t="s">
        <v>36</v>
      </c>
      <c r="B8">
        <v>46</v>
      </c>
    </row>
    <row r="9" spans="1:2">
      <c r="A9" t="s">
        <v>36</v>
      </c>
      <c r="B9">
        <v>59.3</v>
      </c>
    </row>
    <row r="10" spans="1:2">
      <c r="A10" t="s">
        <v>36</v>
      </c>
      <c r="B10">
        <v>71</v>
      </c>
    </row>
    <row r="11" spans="1:2">
      <c r="A11" t="s">
        <v>36</v>
      </c>
      <c r="B11">
        <v>87.8</v>
      </c>
    </row>
    <row r="12" spans="1:2">
      <c r="A12" t="s">
        <v>36</v>
      </c>
      <c r="B12">
        <v>81.7</v>
      </c>
    </row>
    <row r="13" spans="1:2">
      <c r="A13" t="s">
        <v>36</v>
      </c>
      <c r="B13">
        <v>114.8</v>
      </c>
    </row>
    <row r="14" spans="1:2">
      <c r="A14" t="s">
        <v>36</v>
      </c>
      <c r="B14">
        <v>122.5</v>
      </c>
    </row>
    <row r="15" spans="1:2">
      <c r="A15" t="s">
        <v>37</v>
      </c>
      <c r="B15">
        <v>60.3</v>
      </c>
    </row>
    <row r="16" spans="1:2">
      <c r="A16" t="s">
        <v>37</v>
      </c>
      <c r="B16">
        <v>195.5</v>
      </c>
    </row>
    <row r="17" spans="1:2">
      <c r="A17" t="s">
        <v>37</v>
      </c>
      <c r="B17">
        <v>194.8</v>
      </c>
    </row>
    <row r="18" spans="1:2">
      <c r="A18" t="s">
        <v>37</v>
      </c>
      <c r="B18">
        <v>257.7</v>
      </c>
    </row>
    <row r="19" spans="1:2">
      <c r="A19" t="s">
        <v>37</v>
      </c>
      <c r="B19">
        <v>244.7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13</v>
      </c>
      <c r="D1" s="1" t="s">
        <v>16</v>
      </c>
    </row>
    <row r="2" spans="1:4">
      <c r="A2" t="s">
        <v>18</v>
      </c>
      <c r="B2">
        <v>212</v>
      </c>
      <c r="C2">
        <v>168</v>
      </c>
      <c r="D2">
        <v>126.2</v>
      </c>
    </row>
    <row r="3" spans="1:4">
      <c r="A3" t="s">
        <v>19</v>
      </c>
      <c r="B3">
        <v>27</v>
      </c>
      <c r="C3">
        <v>20</v>
      </c>
      <c r="D3">
        <v>135</v>
      </c>
    </row>
    <row r="4" spans="1:4">
      <c r="A4" t="s">
        <v>20</v>
      </c>
      <c r="B4">
        <v>73</v>
      </c>
      <c r="C4">
        <v>87</v>
      </c>
      <c r="D4">
        <v>83.90000000000001</v>
      </c>
    </row>
    <row r="5" spans="1:4">
      <c r="A5" t="s">
        <v>21</v>
      </c>
      <c r="B5">
        <v>104</v>
      </c>
      <c r="C5">
        <v>67</v>
      </c>
      <c r="D5">
        <v>155.2</v>
      </c>
    </row>
    <row r="6" spans="1:4">
      <c r="A6" t="s">
        <v>22</v>
      </c>
      <c r="B6">
        <v>91</v>
      </c>
      <c r="C6">
        <v>115</v>
      </c>
      <c r="D6">
        <v>79.09999999999999</v>
      </c>
    </row>
    <row r="7" spans="1:4">
      <c r="A7" t="s">
        <v>23</v>
      </c>
      <c r="B7">
        <v>171</v>
      </c>
      <c r="C7">
        <v>101</v>
      </c>
      <c r="D7">
        <v>169.3</v>
      </c>
    </row>
    <row r="8" spans="1:4">
      <c r="A8" t="s">
        <v>24</v>
      </c>
      <c r="B8">
        <v>151</v>
      </c>
      <c r="C8">
        <v>154</v>
      </c>
      <c r="D8">
        <v>98.09999999999999</v>
      </c>
    </row>
    <row r="9" spans="1:4">
      <c r="A9" t="s">
        <v>25</v>
      </c>
      <c r="B9">
        <v>123</v>
      </c>
      <c r="C9">
        <v>112</v>
      </c>
      <c r="D9">
        <v>109.8</v>
      </c>
    </row>
    <row r="10" spans="1:4">
      <c r="A10" t="s">
        <v>26</v>
      </c>
      <c r="B10">
        <v>156</v>
      </c>
      <c r="C10">
        <v>82</v>
      </c>
      <c r="D10">
        <v>190.2</v>
      </c>
    </row>
    <row r="11" spans="1:4">
      <c r="A11" t="s">
        <v>27</v>
      </c>
      <c r="B11">
        <v>447</v>
      </c>
      <c r="C11">
        <v>253</v>
      </c>
      <c r="D11">
        <v>176.7</v>
      </c>
    </row>
    <row r="12" spans="1:4">
      <c r="A12" t="s">
        <v>28</v>
      </c>
      <c r="B12">
        <v>548</v>
      </c>
      <c r="C12">
        <v>334</v>
      </c>
      <c r="D12">
        <v>164.1</v>
      </c>
    </row>
    <row r="13" spans="1:4">
      <c r="A13" t="s">
        <v>29</v>
      </c>
      <c r="B13">
        <v>639</v>
      </c>
      <c r="C13">
        <v>385</v>
      </c>
      <c r="D13">
        <v>166</v>
      </c>
    </row>
    <row r="14" spans="1:4">
      <c r="A14" t="s">
        <v>30</v>
      </c>
      <c r="B14">
        <v>301</v>
      </c>
      <c r="C14">
        <v>264</v>
      </c>
      <c r="D14">
        <v>114</v>
      </c>
    </row>
    <row r="15" spans="1:4">
      <c r="A15" t="s">
        <v>31</v>
      </c>
      <c r="B15">
        <v>43</v>
      </c>
      <c r="C15">
        <v>25</v>
      </c>
      <c r="D15">
        <v>172</v>
      </c>
    </row>
    <row r="16" spans="1:4">
      <c r="A16" t="s">
        <v>32</v>
      </c>
      <c r="B16">
        <v>57</v>
      </c>
      <c r="C16">
        <v>38</v>
      </c>
      <c r="D16">
        <v>150</v>
      </c>
    </row>
    <row r="17" spans="1:4">
      <c r="A17" t="s">
        <v>33</v>
      </c>
      <c r="B17">
        <v>18</v>
      </c>
      <c r="C17">
        <v>34</v>
      </c>
      <c r="D17">
        <v>52.9</v>
      </c>
    </row>
    <row r="18" spans="1:4">
      <c r="A18" t="s">
        <v>34</v>
      </c>
      <c r="B18">
        <v>20</v>
      </c>
      <c r="C18">
        <v>13</v>
      </c>
      <c r="D18">
        <v>153.8</v>
      </c>
    </row>
    <row r="19" spans="1:4">
      <c r="A19" t="s">
        <v>35</v>
      </c>
      <c r="B19">
        <v>21</v>
      </c>
      <c r="C19">
        <v>15</v>
      </c>
      <c r="D19">
        <v>140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cols>
    <col min="1" max="1" width="44.7109375" customWidth="1"/>
    <col min="2" max="2" width="20.7109375" customWidth="1"/>
    <col min="7" max="7" width="34.7109375" customWidth="1"/>
  </cols>
  <sheetData>
    <row r="1" spans="1:5">
      <c r="A1" s="2" t="s">
        <v>58</v>
      </c>
      <c r="B1" s="2"/>
      <c r="C1" s="2"/>
      <c r="D1" s="2"/>
      <c r="E1" s="2"/>
    </row>
    <row r="3" spans="1:5">
      <c r="A3" s="3" t="s">
        <v>59</v>
      </c>
      <c r="B3" s="4">
        <f>COUNTA(Summary!A2:A19)</f>
        <v>0</v>
      </c>
    </row>
    <row r="4" spans="1:5">
      <c r="A4" s="3" t="s">
        <v>60</v>
      </c>
      <c r="B4" s="4">
        <f>COUNTIF(Summary!H2:H19,"Sufficient")/COUNTA(Summary!A2:A19)</f>
        <v>0</v>
      </c>
    </row>
    <row r="5" spans="1:5">
      <c r="A5" s="3" t="s">
        <v>61</v>
      </c>
      <c r="B5" s="4">
        <f>COUNTIF(Summary!H2:H19,"Reorder Needed")</f>
        <v>0</v>
      </c>
    </row>
    <row r="6" spans="1:5">
      <c r="A6" s="3" t="s">
        <v>62</v>
      </c>
      <c r="B6" s="4">
        <f>COUNTIF(Summary!L2:L19,"Yes")</f>
        <v>0</v>
      </c>
    </row>
    <row r="7" spans="1:5">
      <c r="A7" s="3" t="s">
        <v>63</v>
      </c>
      <c r="B7" s="4">
        <f>AVERAGE(Summary!E2:E19)</f>
        <v>0</v>
      </c>
    </row>
    <row r="8" spans="1:5">
      <c r="A8" s="3" t="s">
        <v>64</v>
      </c>
      <c r="B8" s="4">
        <f>AVERAGE(Summary!J2:J19)</f>
        <v>0</v>
      </c>
    </row>
    <row r="11" spans="1:5">
      <c r="A11" s="3" t="s">
        <v>65</v>
      </c>
      <c r="B11" s="3" t="s">
        <v>9</v>
      </c>
      <c r="C11" s="3" t="s">
        <v>13</v>
      </c>
    </row>
    <row r="12" spans="1:5">
      <c r="A12" t="s">
        <v>28</v>
      </c>
      <c r="B12">
        <v>548</v>
      </c>
      <c r="C12">
        <v>334</v>
      </c>
    </row>
    <row r="13" spans="1:5">
      <c r="A13" t="s">
        <v>29</v>
      </c>
      <c r="B13">
        <v>639</v>
      </c>
      <c r="C13">
        <v>385</v>
      </c>
    </row>
    <row r="14" spans="1:5">
      <c r="A14" t="s">
        <v>27</v>
      </c>
      <c r="B14">
        <v>447</v>
      </c>
      <c r="C14">
        <v>253</v>
      </c>
    </row>
    <row r="15" spans="1:5">
      <c r="A15" t="s">
        <v>30</v>
      </c>
      <c r="B15">
        <v>301</v>
      </c>
      <c r="C15">
        <v>264</v>
      </c>
    </row>
    <row r="16" spans="1:5">
      <c r="A16" t="s">
        <v>24</v>
      </c>
      <c r="B16">
        <v>151</v>
      </c>
      <c r="C16">
        <v>154</v>
      </c>
    </row>
    <row r="17" spans="1:8">
      <c r="A17" t="s">
        <v>18</v>
      </c>
      <c r="B17">
        <v>212</v>
      </c>
      <c r="C17">
        <v>168</v>
      </c>
    </row>
    <row r="18" spans="1:8">
      <c r="A18" t="s">
        <v>25</v>
      </c>
      <c r="B18">
        <v>123</v>
      </c>
      <c r="C18">
        <v>112</v>
      </c>
    </row>
    <row r="19" spans="1:8">
      <c r="A19" t="s">
        <v>22</v>
      </c>
      <c r="B19">
        <v>91</v>
      </c>
      <c r="C19">
        <v>115</v>
      </c>
    </row>
    <row r="22" spans="1:8">
      <c r="A22" s="3" t="s">
        <v>7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</row>
    <row r="23" spans="1:8">
      <c r="A23" t="s">
        <v>38</v>
      </c>
      <c r="B23">
        <v>11</v>
      </c>
      <c r="C23">
        <v>11</v>
      </c>
      <c r="D23">
        <v>12</v>
      </c>
      <c r="E23">
        <v>9</v>
      </c>
      <c r="F23">
        <v>9</v>
      </c>
      <c r="G23">
        <v>10</v>
      </c>
      <c r="H23" t="s">
        <v>34</v>
      </c>
    </row>
    <row r="24" spans="1:8">
      <c r="A24" t="s">
        <v>38</v>
      </c>
      <c r="B24">
        <v>12</v>
      </c>
      <c r="C24">
        <v>9</v>
      </c>
      <c r="D24">
        <v>12</v>
      </c>
      <c r="E24">
        <v>13</v>
      </c>
      <c r="F24">
        <v>10</v>
      </c>
      <c r="G24">
        <v>10</v>
      </c>
      <c r="H24" t="s">
        <v>35</v>
      </c>
    </row>
    <row r="25" spans="1:8">
      <c r="A25" t="s">
        <v>38</v>
      </c>
      <c r="B25">
        <v>17</v>
      </c>
      <c r="C25">
        <v>16</v>
      </c>
      <c r="D25">
        <v>14</v>
      </c>
      <c r="E25">
        <v>15</v>
      </c>
      <c r="F25">
        <v>16</v>
      </c>
      <c r="G25">
        <v>15</v>
      </c>
      <c r="H25" t="s">
        <v>31</v>
      </c>
    </row>
    <row r="26" spans="1:8">
      <c r="A26" t="s">
        <v>38</v>
      </c>
      <c r="B26">
        <v>22</v>
      </c>
      <c r="C26">
        <v>23</v>
      </c>
      <c r="D26">
        <v>24</v>
      </c>
      <c r="E26">
        <v>23</v>
      </c>
      <c r="F26">
        <v>20</v>
      </c>
      <c r="G26">
        <v>19</v>
      </c>
      <c r="H26" t="s">
        <v>33</v>
      </c>
    </row>
    <row r="27" spans="1:8">
      <c r="A27" t="s">
        <v>38</v>
      </c>
      <c r="B27">
        <v>29</v>
      </c>
      <c r="C27">
        <v>26</v>
      </c>
      <c r="D27">
        <v>30</v>
      </c>
      <c r="E27">
        <v>25</v>
      </c>
      <c r="F27">
        <v>24</v>
      </c>
      <c r="G27">
        <v>25</v>
      </c>
      <c r="H27" t="s">
        <v>32</v>
      </c>
    </row>
    <row r="28" spans="1:8">
      <c r="A28" t="s">
        <v>36</v>
      </c>
      <c r="B28">
        <v>14</v>
      </c>
      <c r="C28">
        <v>13</v>
      </c>
      <c r="D28">
        <v>12</v>
      </c>
      <c r="E28">
        <v>13</v>
      </c>
      <c r="F28">
        <v>13</v>
      </c>
      <c r="G28">
        <v>12</v>
      </c>
      <c r="H28" t="s">
        <v>19</v>
      </c>
    </row>
    <row r="29" spans="1:8">
      <c r="A29" t="s">
        <v>36</v>
      </c>
      <c r="B29">
        <v>45</v>
      </c>
      <c r="C29">
        <v>51</v>
      </c>
      <c r="D29">
        <v>50</v>
      </c>
      <c r="E29">
        <v>42</v>
      </c>
      <c r="F29">
        <v>45</v>
      </c>
      <c r="G29">
        <v>43</v>
      </c>
      <c r="H29" t="s">
        <v>21</v>
      </c>
    </row>
    <row r="30" spans="1:8">
      <c r="A30" t="s">
        <v>36</v>
      </c>
      <c r="B30">
        <v>59</v>
      </c>
      <c r="C30">
        <v>63</v>
      </c>
      <c r="D30">
        <v>60</v>
      </c>
      <c r="E30">
        <v>70</v>
      </c>
      <c r="F30">
        <v>50</v>
      </c>
      <c r="G30">
        <v>54</v>
      </c>
      <c r="H30" t="s">
        <v>20</v>
      </c>
    </row>
    <row r="31" spans="1:8">
      <c r="A31" t="s">
        <v>36</v>
      </c>
      <c r="B31">
        <v>75</v>
      </c>
      <c r="C31">
        <v>74</v>
      </c>
      <c r="D31">
        <v>80</v>
      </c>
      <c r="E31">
        <v>75</v>
      </c>
      <c r="F31">
        <v>58</v>
      </c>
      <c r="G31">
        <v>64</v>
      </c>
      <c r="H31" t="s">
        <v>23</v>
      </c>
    </row>
    <row r="32" spans="1:8">
      <c r="A32" t="s">
        <v>36</v>
      </c>
      <c r="B32">
        <v>82</v>
      </c>
      <c r="C32">
        <v>80</v>
      </c>
      <c r="D32">
        <v>92</v>
      </c>
      <c r="E32">
        <v>86</v>
      </c>
      <c r="F32">
        <v>98</v>
      </c>
      <c r="G32">
        <v>89</v>
      </c>
      <c r="H32" t="s">
        <v>25</v>
      </c>
    </row>
    <row r="33" spans="1:8">
      <c r="A33" t="s">
        <v>36</v>
      </c>
      <c r="B33">
        <v>84</v>
      </c>
      <c r="C33">
        <v>88</v>
      </c>
      <c r="D33">
        <v>82</v>
      </c>
      <c r="E33">
        <v>82</v>
      </c>
      <c r="F33">
        <v>73</v>
      </c>
      <c r="G33">
        <v>81</v>
      </c>
      <c r="H33" t="s">
        <v>22</v>
      </c>
    </row>
    <row r="34" spans="1:8">
      <c r="A34" t="s">
        <v>36</v>
      </c>
      <c r="B34">
        <v>122</v>
      </c>
      <c r="C34">
        <v>109</v>
      </c>
      <c r="D34">
        <v>120</v>
      </c>
      <c r="E34">
        <v>114</v>
      </c>
      <c r="F34">
        <v>115</v>
      </c>
      <c r="G34">
        <v>109</v>
      </c>
      <c r="H34" t="s">
        <v>18</v>
      </c>
    </row>
    <row r="35" spans="1:8">
      <c r="A35" t="s">
        <v>36</v>
      </c>
      <c r="B35">
        <v>124</v>
      </c>
      <c r="C35">
        <v>137</v>
      </c>
      <c r="D35">
        <v>129</v>
      </c>
      <c r="E35">
        <v>127</v>
      </c>
      <c r="F35">
        <v>100</v>
      </c>
      <c r="G35">
        <v>118</v>
      </c>
      <c r="H35" t="s">
        <v>24</v>
      </c>
    </row>
    <row r="36" spans="1:8">
      <c r="A36" t="s">
        <v>37</v>
      </c>
      <c r="B36">
        <v>56</v>
      </c>
      <c r="C36">
        <v>60</v>
      </c>
      <c r="D36">
        <v>64</v>
      </c>
      <c r="E36">
        <v>50</v>
      </c>
      <c r="F36">
        <v>69</v>
      </c>
      <c r="G36">
        <v>63</v>
      </c>
      <c r="H36" t="s">
        <v>26</v>
      </c>
    </row>
    <row r="37" spans="1:8">
      <c r="A37" t="s">
        <v>37</v>
      </c>
      <c r="B37">
        <v>181</v>
      </c>
      <c r="C37">
        <v>197</v>
      </c>
      <c r="D37">
        <v>217</v>
      </c>
      <c r="E37">
        <v>191</v>
      </c>
      <c r="F37">
        <v>196</v>
      </c>
      <c r="G37">
        <v>191</v>
      </c>
      <c r="H37" t="s">
        <v>27</v>
      </c>
    </row>
    <row r="38" spans="1:8">
      <c r="A38" t="s">
        <v>37</v>
      </c>
      <c r="B38">
        <v>191</v>
      </c>
      <c r="C38">
        <v>205</v>
      </c>
      <c r="D38">
        <v>201</v>
      </c>
      <c r="E38">
        <v>184</v>
      </c>
      <c r="F38">
        <v>213</v>
      </c>
      <c r="G38">
        <v>175</v>
      </c>
      <c r="H38" t="s">
        <v>30</v>
      </c>
    </row>
    <row r="39" spans="1:8">
      <c r="A39" t="s">
        <v>37</v>
      </c>
      <c r="B39">
        <v>241</v>
      </c>
      <c r="C39">
        <v>274</v>
      </c>
      <c r="D39">
        <v>266</v>
      </c>
      <c r="E39">
        <v>243</v>
      </c>
      <c r="F39">
        <v>280</v>
      </c>
      <c r="G39">
        <v>242</v>
      </c>
      <c r="H39" t="s">
        <v>28</v>
      </c>
    </row>
    <row r="40" spans="1:8">
      <c r="A40" t="s">
        <v>37</v>
      </c>
      <c r="B40">
        <v>261</v>
      </c>
      <c r="C40">
        <v>280</v>
      </c>
      <c r="D40">
        <v>265</v>
      </c>
      <c r="E40">
        <v>230</v>
      </c>
      <c r="F40">
        <v>215</v>
      </c>
      <c r="G40">
        <v>217</v>
      </c>
      <c r="H40" t="s">
        <v>29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66</v>
      </c>
    </row>
    <row r="2" spans="1:2">
      <c r="A2" t="s">
        <v>67</v>
      </c>
      <c r="B2" t="s">
        <v>58</v>
      </c>
    </row>
    <row r="3" spans="1:2">
      <c r="A3" t="s">
        <v>68</v>
      </c>
      <c r="B3" t="s">
        <v>70</v>
      </c>
    </row>
    <row r="4" spans="1:2">
      <c r="A4" t="s">
        <v>69</v>
      </c>
      <c r="B4" t="s">
        <v>71</v>
      </c>
    </row>
    <row r="5" spans="1:2">
      <c r="A5" t="s">
        <v>66</v>
      </c>
      <c r="B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Item_History</vt:lpstr>
      <vt:lpstr>Summary</vt:lpstr>
      <vt:lpstr>History_Only</vt:lpstr>
      <vt:lpstr>Monthly_Summary</vt:lpstr>
      <vt:lpstr>Top10_Trends</vt:lpstr>
      <vt:lpstr>Pivot_Category_Month</vt:lpstr>
      <vt:lpstr>Pivot_Stock_Category</vt:lpstr>
      <vt:lpstr>LeadTime_Dist</vt:lpstr>
      <vt:lpstr>Urgent_Summary</vt:lpstr>
      <vt:lpstr>Category_Avg</vt:lpstr>
      <vt:lpstr>Scatter_Helper</vt:lpstr>
      <vt:lpstr>Dashboard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2025-11-11T19:47:20Z</dcterms:created>
  <dcterms:modified xsi:type="dcterms:W3CDTF">2025-11-11T19:47:20Z</dcterms:modified>
</cp:coreProperties>
</file>